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VScriptsProperties" sheetId="1" r:id="rId5"/>
    <sheet state="hidden" name="Form Responses 2" sheetId="2" r:id="rId6"/>
    <sheet state="visible" name="Form Responses 1" sheetId="3" r:id="rId7"/>
    <sheet state="hidden" name="DO NOT DELETE - AutoCrat Job S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Responder updated this value.</t>
      </text>
    </comment>
    <comment authorId="0" ref="G4">
      <text>
        <t xml:space="preserve">Responder updated this value.</t>
      </text>
    </comment>
    <comment authorId="0" ref="I4">
      <text>
        <t xml:space="preserve">Responder updated this value.</t>
      </text>
    </comment>
    <comment authorId="0" ref="K4">
      <text>
        <t xml:space="preserve">Responder updated this value.</t>
      </text>
    </comment>
    <comment authorId="0" ref="L4">
      <text>
        <t xml:space="preserve">Responder updated this value.</t>
      </text>
    </comment>
    <comment authorId="0" ref="M4">
      <text>
        <t xml:space="preserve">Responder updated this value.</t>
      </text>
    </comment>
    <comment authorId="0" ref="N4">
      <text>
        <t xml:space="preserve">Responder updated this value.</t>
      </text>
    </comment>
    <comment authorId="0" ref="O4">
      <text>
        <t xml:space="preserve">Responder updated this value.</t>
      </text>
    </comment>
    <comment authorId="0" ref="P4">
      <text>
        <t xml:space="preserve">Responder updated this value.</t>
      </text>
    </comment>
    <comment authorId="0" ref="Q4">
      <text>
        <t xml:space="preserve">Responder updated this value.</t>
      </text>
    </comment>
    <comment authorId="0" ref="R4">
      <text>
        <t xml:space="preserve">Responder updated this value.</t>
      </text>
    </comment>
    <comment authorId="0" ref="S4">
      <text>
        <t xml:space="preserve">Responder updated this value.</t>
      </text>
    </comment>
    <comment authorId="0" ref="T4">
      <text>
        <t xml:space="preserve">Responder updated this value.</t>
      </text>
    </comment>
    <comment authorId="0" ref="U4">
      <text>
        <t xml:space="preserve">Responder updated this value.</t>
      </text>
    </comment>
    <comment authorId="0" ref="V4">
      <text>
        <t xml:space="preserve">Responder updated this value.</t>
      </text>
    </comment>
    <comment authorId="0" ref="W4">
      <text>
        <t xml:space="preserve">Responder updated this value.</t>
      </text>
    </comment>
    <comment authorId="0" ref="X4">
      <text>
        <t xml:space="preserve">Responder updated this value.</t>
      </text>
    </comment>
    <comment authorId="0" ref="Y4">
      <text>
        <t xml:space="preserve">Responder updated this value.</t>
      </text>
    </comment>
    <comment authorId="0" ref="Z4">
      <text>
        <t xml:space="preserve">Responder updated this value.</t>
      </text>
    </comment>
    <comment authorId="0" ref="AA4">
      <text>
        <t xml:space="preserve">Responder updated this value.</t>
      </text>
    </comment>
    <comment authorId="0" ref="AD4">
      <text>
        <t xml:space="preserve">Responder updated this value.</t>
      </text>
    </comment>
    <comment authorId="0" ref="AE4">
      <text>
        <t xml:space="preserve">Responder updated this value.</t>
      </text>
    </comment>
    <comment authorId="0" ref="AF4">
      <text>
        <t xml:space="preserve">Responder updated this value.</t>
      </text>
    </comment>
    <comment authorId="0" ref="AG4">
      <text>
        <t xml:space="preserve">Responder updated this value.</t>
      </text>
    </comment>
    <comment authorId="0" ref="AH4">
      <text>
        <t xml:space="preserve">Responder updated this value.</t>
      </text>
    </comment>
    <comment authorId="0" ref="AI4">
      <text>
        <t xml:space="preserve">Responder updated this value.</t>
      </text>
    </comment>
    <comment authorId="0" ref="AJ4">
      <text>
        <t xml:space="preserve">Responder updated this value.</t>
      </text>
    </comment>
    <comment authorId="0" ref="AK4">
      <text>
        <t xml:space="preserve">Responder updated this value.</t>
      </text>
    </comment>
    <comment authorId="0" ref="AL4">
      <text>
        <t xml:space="preserve">Responder updated this value.</t>
      </text>
    </comment>
    <comment authorId="0" ref="AM4">
      <text>
        <t xml:space="preserve">Responder updated this value.</t>
      </text>
    </comment>
    <comment authorId="0" ref="AN4">
      <text>
        <t xml:space="preserve">Responder updated this value.</t>
      </text>
    </comment>
    <comment authorId="0" ref="AO4">
      <text>
        <t xml:space="preserve">Responder updated this value.</t>
      </text>
    </comment>
    <comment authorId="0" ref="AP4">
      <text>
        <t xml:space="preserve">Responder updated this value.</t>
      </text>
    </comment>
    <comment authorId="0" ref="AQ4">
      <text>
        <t xml:space="preserve">Responder updated this value.</t>
      </text>
    </comment>
    <comment authorId="0" ref="AR4">
      <text>
        <t xml:space="preserve">Responder updated this value.</t>
      </text>
    </comment>
    <comment authorId="0" ref="AU4">
      <text>
        <t xml:space="preserve">Responder updated this value.</t>
      </text>
    </comment>
    <comment authorId="0" ref="AV4">
      <text>
        <t xml:space="preserve">Responder updated this value.</t>
      </text>
    </comment>
    <comment authorId="0" ref="AW4">
      <text>
        <t xml:space="preserve">Responder updated this value.</t>
      </text>
    </comment>
    <comment authorId="0" ref="AX4">
      <text>
        <t xml:space="preserve">Responder updated this value.</t>
      </text>
    </comment>
    <comment authorId="0" ref="AY4">
      <text>
        <t xml:space="preserve">Responder updated this value.</t>
      </text>
    </comment>
    <comment authorId="0" ref="AZ4">
      <text>
        <t xml:space="preserve">Responder updated this value.</t>
      </text>
    </comment>
    <comment authorId="0" ref="BA4">
      <text>
        <t xml:space="preserve">Responder updated this value.</t>
      </text>
    </comment>
    <comment authorId="0" ref="BB4">
      <text>
        <t xml:space="preserve">Responder updated this value.</t>
      </text>
    </comment>
    <comment authorId="0" ref="BC4">
      <text>
        <t xml:space="preserve">Responder updated this value.</t>
      </text>
    </comment>
    <comment authorId="0" ref="BD4">
      <text>
        <t xml:space="preserve">Responder updated this value.</t>
      </text>
    </comment>
    <comment authorId="0" ref="BE4">
      <text>
        <t xml:space="preserve">Responder updated this value.</t>
      </text>
    </comment>
    <comment authorId="0" ref="BF4">
      <text>
        <t xml:space="preserve">Responder updated this value.</t>
      </text>
    </comment>
    <comment authorId="0" ref="BG4">
      <text>
        <t xml:space="preserve">Responder updated this value.</t>
      </text>
    </comment>
    <comment authorId="0" ref="BH4">
      <text>
        <t xml:space="preserve">Responder updated this value.</t>
      </text>
    </comment>
    <comment authorId="0" ref="BI4">
      <text>
        <t xml:space="preserve">Responder updated this value.</t>
      </text>
    </comment>
    <comment authorId="0" ref="BL4">
      <text>
        <t xml:space="preserve">Responder updated this value.</t>
      </text>
    </comment>
    <comment authorId="0" ref="BM4">
      <text>
        <t xml:space="preserve">Responder updated this value.</t>
      </text>
    </comment>
    <comment authorId="0" ref="BN4">
      <text>
        <t xml:space="preserve">Responder updated this value.</t>
      </text>
    </comment>
    <comment authorId="0" ref="BO4">
      <text>
        <t xml:space="preserve">Responder updated this value.</t>
      </text>
    </comment>
    <comment authorId="0" ref="BR4">
      <text>
        <t xml:space="preserve">Responder updated this value.</t>
      </text>
    </comment>
    <comment authorId="0" ref="BS4">
      <text>
        <t xml:space="preserve">Responder updated this value.</t>
      </text>
    </comment>
    <comment authorId="0" ref="BT4">
      <text>
        <t xml:space="preserve">Responder updated this value.</t>
      </text>
    </comment>
    <comment authorId="0" ref="BU4">
      <text>
        <t xml:space="preserve">Responder updated this value.</t>
      </text>
    </comment>
    <comment authorId="0" ref="BV4">
      <text>
        <t xml:space="preserve">Responder updated this value.</t>
      </text>
    </comment>
    <comment authorId="0" ref="BW4">
      <text>
        <t xml:space="preserve">Responder updated this value.</t>
      </text>
    </comment>
    <comment authorId="0" ref="BX4">
      <text>
        <t xml:space="preserve">Responder updated this value.</t>
      </text>
    </comment>
    <comment authorId="0" ref="BY4">
      <text>
        <t xml:space="preserve">Responder updated this value.</t>
      </text>
    </comment>
    <comment authorId="0" ref="BZ4">
      <text>
        <t xml:space="preserve">Responder updated this value.</t>
      </text>
    </comment>
    <comment authorId="0" ref="CA4">
      <text>
        <t xml:space="preserve">Responder updated this value.</t>
      </text>
    </comment>
    <comment authorId="0" ref="CB4">
      <text>
        <t xml:space="preserve">Responder updated this value.</t>
      </text>
    </comment>
    <comment authorId="0" ref="CC4">
      <text>
        <t xml:space="preserve">Responder updated this value.</t>
      </text>
    </comment>
    <comment authorId="0" ref="CD4">
      <text>
        <t xml:space="preserve">Responder updated this value.</t>
      </text>
    </comment>
    <comment authorId="0" ref="CE4">
      <text>
        <t xml:space="preserve">Responder updated this value.</t>
      </text>
    </comment>
    <comment authorId="0" ref="CF4">
      <text>
        <t xml:space="preserve">Responder updated this value.</t>
      </text>
    </comment>
    <comment authorId="0" ref="CG4">
      <text>
        <t xml:space="preserve">Responder updated this value.</t>
      </text>
    </comment>
    <comment authorId="0" ref="CH4">
      <text>
        <t xml:space="preserve">Responder updated this value.</t>
      </text>
    </comment>
    <comment authorId="0" ref="CI4">
      <text>
        <t xml:space="preserve">Responder updated this value.</t>
      </text>
    </comment>
    <comment authorId="0" ref="CJ4">
      <text>
        <t xml:space="preserve">Responder updated this value.</t>
      </text>
    </comment>
    <comment authorId="0" ref="CK4">
      <text>
        <t xml:space="preserve">Responder updated this value.</t>
      </text>
    </comment>
    <comment authorId="0" ref="CL4">
      <text>
        <t xml:space="preserve">Responder updated this value.</t>
      </text>
    </comment>
    <comment authorId="0" ref="CM4">
      <text>
        <t xml:space="preserve">Responder updated this value.</t>
      </text>
    </comment>
    <comment authorId="0" ref="CN4">
      <text>
        <t xml:space="preserve">Responder updated this value.</t>
      </text>
    </comment>
    <comment authorId="0" ref="CO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<sst xmlns="http://schemas.openxmlformats.org/spreadsheetml/2006/main" count="549" uniqueCount="422">
  <si>
    <t>autocratn</t>
  </si>
  <si>
    <t>autocratp</t>
  </si>
  <si>
    <t>dataSheetName</t>
  </si>
  <si>
    <t>"Form Responses 1"</t>
  </si>
  <si>
    <t>v</t>
  </si>
  <si>
    <t>"5.1"</t>
  </si>
  <si>
    <t>dataSheetId</t>
  </si>
  <si>
    <t>"1.938160805E9"</t>
  </si>
  <si>
    <t>updateTime</t>
  </si>
  <si>
    <t>"1.777429198975E12"</t>
  </si>
  <si>
    <t>vp</t>
  </si>
  <si>
    <t>ssId</t>
  </si>
  <si>
    <t>"1rGzYc_eTG_cerEEUtrBpTDgpOzvKwUU21xu-uTEadlE"</t>
  </si>
  <si>
    <t>Timestamp</t>
  </si>
  <si>
    <t>Email Address</t>
  </si>
  <si>
    <t>Score</t>
  </si>
  <si>
    <t xml:space="preserve">Nama Business Owner : </t>
  </si>
  <si>
    <t xml:space="preserve">No. Telp/ WA Aktif : </t>
  </si>
  <si>
    <t>Alamat Email :</t>
  </si>
  <si>
    <t>Nama Brand/ Usaha :</t>
  </si>
  <si>
    <t>Bidang Usaha :</t>
  </si>
  <si>
    <t>Jumlah Karyawan</t>
  </si>
  <si>
    <t>Omset/bulan</t>
  </si>
  <si>
    <t>Vision/ Visi</t>
  </si>
  <si>
    <t>Mission/ Misi</t>
  </si>
  <si>
    <t>Corporate Values/ Nilai Budaya</t>
  </si>
  <si>
    <t>Business Model/ Model Bisnis</t>
  </si>
  <si>
    <t>Core/ Inti</t>
  </si>
  <si>
    <t>Generic/ Umum</t>
  </si>
  <si>
    <t>Specific Expertise/ Keahlian Khusus</t>
  </si>
  <si>
    <t>Vertical Structure/ Struktur Vertikal</t>
  </si>
  <si>
    <t>Horizontal Structure (Work Function Grouping)/ Struktur Horisontal (Pengelompokan Fungsi Kerja)</t>
  </si>
  <si>
    <t>Job Code/ Kode Pekerjaan</t>
  </si>
  <si>
    <t>Job Specification/ Spesifikasi Pekerjaan</t>
  </si>
  <si>
    <t>Job Requirement / Persyaratan Pekerjaan</t>
  </si>
  <si>
    <t>Job Description/ Deskripsi Pekerjaan</t>
  </si>
  <si>
    <t>Key Performance Indicator/ KPI</t>
  </si>
  <si>
    <t>Point System/ Sistem Poin</t>
  </si>
  <si>
    <t>Leveling Evaluation Scheme/ Skema Evaluasi Level</t>
  </si>
  <si>
    <t>Talent Pool Scheme/ Skema Talent Pool</t>
  </si>
  <si>
    <t>Undang – Undang Ketenagakerjaan</t>
  </si>
  <si>
    <t>Peraturan Pemerintah</t>
  </si>
  <si>
    <t>Keputusan Presiden</t>
  </si>
  <si>
    <t>Keputusan Menteri</t>
  </si>
  <si>
    <t>Peraturan Menteri</t>
  </si>
  <si>
    <t>Peraturan Lain</t>
  </si>
  <si>
    <t>Perjanjian Kerja Bersama / Peraturan Perusahaan</t>
  </si>
  <si>
    <t>Surat Keputusan Direksi</t>
  </si>
  <si>
    <t>Surat Edaran Direksi</t>
  </si>
  <si>
    <t>Internal Memo</t>
  </si>
  <si>
    <t>Contract Letter/ Surat Kontrak</t>
  </si>
  <si>
    <t>Decision Letter/ Surat Keputusan</t>
  </si>
  <si>
    <t>Warning Letter/ Surat Peringatan</t>
  </si>
  <si>
    <t>Certificate Work/ Sertifikat Kerja</t>
  </si>
  <si>
    <t xml:space="preserve">
Coaching Note/ Catatan Pelatihan</t>
  </si>
  <si>
    <t>Work Schedule &amp; Rule/ Jadwal &amp; Peraturan Kerja</t>
  </si>
  <si>
    <t>Employee Grouping/ Pengelompokan Karyawan</t>
  </si>
  <si>
    <t>Permittance Scheme/ Skema Perizinan</t>
  </si>
  <si>
    <t xml:space="preserve">
Reporting Evaluation/ Pelaporan &amp; Evaluasi</t>
  </si>
  <si>
    <t>Ratio Labor Cost vs Gross Profit/
Rasio Biaya Tenaga Kerja vs Laba Kotor</t>
  </si>
  <si>
    <t>Koperasi</t>
  </si>
  <si>
    <t>Basic Salary Scheme/ Skema Gaji Pokok</t>
  </si>
  <si>
    <t>Allowance Scheme/ Skema Tunjangan</t>
  </si>
  <si>
    <t>Overtime Scheme/ Skema Lembur</t>
  </si>
  <si>
    <t xml:space="preserve"> Insurance scheme/ Skema Asuransi</t>
  </si>
  <si>
    <t>Tax Scheme/ Skema Pajak</t>
  </si>
  <si>
    <t>Tool &amp; Working Equipment/
Alat &amp; Perlengkapan kerja</t>
  </si>
  <si>
    <t xml:space="preserve">
Official Travel Scheme/ Skema Perjalanan Dinas</t>
  </si>
  <si>
    <t xml:space="preserve">
Cash Insentif/ Bonus</t>
  </si>
  <si>
    <t xml:space="preserve">
Vehicle Scheme/ Skema Kendaraan</t>
  </si>
  <si>
    <t>Contract Evaluation/ Evaluasi Kontrak</t>
  </si>
  <si>
    <t>Regular Evaluation/ Evaluasi Reguler</t>
  </si>
  <si>
    <t>Assessment Program/ Program Asesmen</t>
  </si>
  <si>
    <t>Learning Culture/ Budaya Belajar</t>
  </si>
  <si>
    <t>L&amp;D Design/ Desain L&amp;D</t>
  </si>
  <si>
    <t>L&amp;D Evaluation/ Evaluasi L&amp;D</t>
  </si>
  <si>
    <t>Jumlah Kebutuhan</t>
  </si>
  <si>
    <t>Employee Specification/ Spesifikasi Karyawan</t>
  </si>
  <si>
    <t>Join Date as Employee/ Tanggal Bergabung sebagai Karyawan</t>
  </si>
  <si>
    <t>Retirement/ Pensiunan</t>
  </si>
  <si>
    <t>Personal Data/ Data Pribadi</t>
  </si>
  <si>
    <t xml:space="preserve">
Family Data/ Data Keluarga</t>
  </si>
  <si>
    <t xml:space="preserve">
Education/ Pendidikan</t>
  </si>
  <si>
    <t>Job Experiences/ Pengalaman Kerja</t>
  </si>
  <si>
    <t>First Step Recruitment/ Rekrutmen Tahap Pertama</t>
  </si>
  <si>
    <t>Evaluation/ Evaluasi</t>
  </si>
  <si>
    <t>Health/ Kesehatan</t>
  </si>
  <si>
    <t>Reference Cross Check/ Cek Referensi Kerja</t>
  </si>
  <si>
    <t>Personal/ Pribadi</t>
  </si>
  <si>
    <t>Family Data/ Data Keluarga</t>
  </si>
  <si>
    <t>Education/ Pendidikan</t>
  </si>
  <si>
    <t>Organization Development/ Pengembangan Organisasi</t>
  </si>
  <si>
    <t>Industrial Relation/ Relasi Industri</t>
  </si>
  <si>
    <t>Compensation &amp; Benefit/ Kompensasi &amp; Manfaat</t>
  </si>
  <si>
    <t>People Development/ Pengembangan SDM</t>
  </si>
  <si>
    <t>Employment/ Kepegawaian</t>
  </si>
  <si>
    <t>Job Code 1</t>
  </si>
  <si>
    <t>Job Code 2</t>
  </si>
  <si>
    <t>Job EXP 1</t>
  </si>
  <si>
    <t>Job EXP 2</t>
  </si>
  <si>
    <t>Domisili Kota/Kabupaten Usaha :</t>
  </si>
  <si>
    <t>Vision &amp; Mission 
1. Vision/ Visi</t>
  </si>
  <si>
    <t>2. Mission/ Misi</t>
  </si>
  <si>
    <t>3. Corporate Values/ Nilai Budaya</t>
  </si>
  <si>
    <t>4. Business Model/ Model Bisnis</t>
  </si>
  <si>
    <t>Employee Competency 
5. Core/ Inti</t>
  </si>
  <si>
    <t>6. Generic/ Umum</t>
  </si>
  <si>
    <t>7. Specific Expertise/ Keahlian Khusus</t>
  </si>
  <si>
    <t>Organizational Structure
8. Vertical Structure/ Struktur Vertikal</t>
  </si>
  <si>
    <t>9. Horizontal Structure (Work Function Grouping)/ Struktur Horisontal (Pengelompokan Fungsi Kerja)</t>
  </si>
  <si>
    <t>10. Job Code/ Kode Pekerjaan</t>
  </si>
  <si>
    <t>11. Job Specification/ Spesifikasi Pekerjaan</t>
  </si>
  <si>
    <t>12. Job Requirement / Persyaratan Pekerjaan</t>
  </si>
  <si>
    <t>13. Job Description/ Deskripsi Pekerjaan</t>
  </si>
  <si>
    <t>14. Key Performance Indicator/ KPI</t>
  </si>
  <si>
    <t>Career Track 
15. Point System/ Sistem Poin</t>
  </si>
  <si>
    <t>16. Leveling Evaluation Scheme/ Skema Evaluasi Level</t>
  </si>
  <si>
    <t>17. Talent Pool Scheme/ Skema Talent Pool</t>
  </si>
  <si>
    <t>Organizatinal Deveopment Management</t>
  </si>
  <si>
    <t>%Bagian1</t>
  </si>
  <si>
    <t>External Rules
18. Undang – Undang Ketenagakerjaan</t>
  </si>
  <si>
    <t>19. Peraturan Pemerintah</t>
  </si>
  <si>
    <t>20. Keputusan Presiden</t>
  </si>
  <si>
    <t>21. Keputusan Menteri</t>
  </si>
  <si>
    <t>22. Peraturan Menteri</t>
  </si>
  <si>
    <t>23. Peraturan Lain</t>
  </si>
  <si>
    <t>Internal Rules
24. Perjanjian Kerja Bersama / Peraturan Perusahaan</t>
  </si>
  <si>
    <t>25. Surat Keputusan Direksi</t>
  </si>
  <si>
    <t>26. Surat Edaran Direksi</t>
  </si>
  <si>
    <t>Personal Letter 
27. Internal Memo</t>
  </si>
  <si>
    <t>28. Contract Letter/ Surat Kontrak</t>
  </si>
  <si>
    <t>29. Decision Letter/ Surat Keputusan</t>
  </si>
  <si>
    <t>30. Warning Letter/ Surat Peringatan</t>
  </si>
  <si>
    <t>31. Certificate Work/ Sertifikat Kerja</t>
  </si>
  <si>
    <t>32. Coaching Note/ Catatan Pelatihan</t>
  </si>
  <si>
    <t>Industrial Relationship Management</t>
  </si>
  <si>
    <t>%Bagian 2</t>
  </si>
  <si>
    <t>Abcence Scheme
33. Work Schedule &amp; Rule/ Jadwal &amp; Peraturan Kerja</t>
  </si>
  <si>
    <t>34. Employee Grouping/ Pengelompokan Karyawan</t>
  </si>
  <si>
    <t>35. Permittance Scheme/ Skema Perizinan</t>
  </si>
  <si>
    <t>36. Reporting Evaluation/ Pelaporan &amp; Evaluasi</t>
  </si>
  <si>
    <t>Capital Scheme
37. Ratio Labor Cost vs Gross Profit/ Rasio Biaya Tenaga Kerja vs Laba Kotor</t>
  </si>
  <si>
    <t>38. Koperasi</t>
  </si>
  <si>
    <t>Payroll Scheme 
39. Basic Salary Scheme/ Skema Gaji Pokok</t>
  </si>
  <si>
    <t>40. Allowance Scheme/ Skema Tunjangan</t>
  </si>
  <si>
    <t>41. Overtime Scheme/ Skema Lembur</t>
  </si>
  <si>
    <t>42. Insurance scheme/ Skema Asuransi</t>
  </si>
  <si>
    <t>43. Tax Scheme/ Skema Pajak</t>
  </si>
  <si>
    <t>Benefit Scheme 
44. Tool &amp; Working Equipment/ Alat &amp; Perlengkapan kerja</t>
  </si>
  <si>
    <t>45. Official Travel Scheme/ Skema Perjalanan Dinas</t>
  </si>
  <si>
    <t>46. Cash Insentif/ Bonus</t>
  </si>
  <si>
    <t>47. Vehicle Scheme/ Skema Kendaraan</t>
  </si>
  <si>
    <t>Compensation &amp; Benefit  Management</t>
  </si>
  <si>
    <t>%Bagian 3</t>
  </si>
  <si>
    <t>Performance Apraisal
48. Contract Evaluation/ Evaluasi Kontrak</t>
  </si>
  <si>
    <t>49. Regular Evaluation/ Evaluasi Reguler</t>
  </si>
  <si>
    <t>50. Assessment Program/ Program Asesmen</t>
  </si>
  <si>
    <t>Learning &amp; Development 
51. Learning Culture/ Budaya Belajar</t>
  </si>
  <si>
    <t>People Development Management</t>
  </si>
  <si>
    <t>%Bagian 4</t>
  </si>
  <si>
    <t>52. L&amp;D Design/ Desain L&amp;D</t>
  </si>
  <si>
    <t>53. L&amp;D Evaluation/ Evaluasi L&amp;D</t>
  </si>
  <si>
    <t>Man Power Planning
54. Job Code/ Kode Pekerjaan</t>
  </si>
  <si>
    <t>55. Jumlah Kebutuhan</t>
  </si>
  <si>
    <t>56. Employee Specification/ Spesifikasi Karyawan</t>
  </si>
  <si>
    <t>57. Join Date as Employee/ Tanggal Bergabung sebagai Karyawan</t>
  </si>
  <si>
    <t>58. Retirement/ Pensiunan</t>
  </si>
  <si>
    <t>Candidate Relationship
59. Personal Data/ Data Pribadi (Kandidat)</t>
  </si>
  <si>
    <t>60. Family Data/ Data Keluarga (Kandidat)</t>
  </si>
  <si>
    <t>61. Education/ Pendidikan (Kandidat)</t>
  </si>
  <si>
    <t>62. Job Experiences/ Pengalaman Kerja (Kandidat)</t>
  </si>
  <si>
    <t>Recruitment Test
63. First Step Recruitment/ Rekrutmen Tahap Pertama</t>
  </si>
  <si>
    <t>64. Evaluation/ Evaluasi</t>
  </si>
  <si>
    <t>65. Health/ Kesehatan</t>
  </si>
  <si>
    <t>66. Reference Cross Check/ Cek Referensi Kerja</t>
  </si>
  <si>
    <t>Employee Database 
67. Personal/ Pribadi (Karyawan)</t>
  </si>
  <si>
    <t>68. Family Data/ Data Keluarga (Karyawan)</t>
  </si>
  <si>
    <t>69. Education/ Pendidikan (Karyawan)</t>
  </si>
  <si>
    <t>70. Job Experiences/ Pengalaman Kerja (Karyawan)</t>
  </si>
  <si>
    <t>Employee Profile 
71. Organization Development/ Pengembangan Organisasi</t>
  </si>
  <si>
    <t>72. Industrial Relation/ Relasi Industri</t>
  </si>
  <si>
    <t>73. Compensation &amp; Benefit/ Kompensasi &amp; Manfaat</t>
  </si>
  <si>
    <t>74. People Development/ Pengembangan SDM</t>
  </si>
  <si>
    <t>75. Employment/ Kepegawaian</t>
  </si>
  <si>
    <t>Employement Management</t>
  </si>
  <si>
    <t>%Bagian 5</t>
  </si>
  <si>
    <t>Total</t>
  </si>
  <si>
    <t>% Total</t>
  </si>
  <si>
    <t>sobat.umkmpro@gmail.com</t>
  </si>
  <si>
    <t xml:space="preserve">Arfin Mardiyanto </t>
  </si>
  <si>
    <t>081358894404</t>
  </si>
  <si>
    <t>Sidoarjo</t>
  </si>
  <si>
    <t>Sobat UMKM Pro</t>
  </si>
  <si>
    <t>Jasa (Service-Based)</t>
  </si>
  <si>
    <t>1-5 karyawan</t>
  </si>
  <si>
    <t>&gt; 0-50 juta/bulan</t>
  </si>
  <si>
    <t>farosg3@gmail.com</t>
  </si>
  <si>
    <t>Julius Ivan</t>
  </si>
  <si>
    <t>089617309557</t>
  </si>
  <si>
    <t>Jagat Mukti Digjaya</t>
  </si>
  <si>
    <t xml:space="preserve">Jasa (Service-Based) </t>
  </si>
  <si>
    <t>sopwebs@gmail.com</t>
  </si>
  <si>
    <t>Firman elhakim</t>
  </si>
  <si>
    <t>085606117640</t>
  </si>
  <si>
    <t>Konsultan menubizid</t>
  </si>
  <si>
    <t>mhumakebab@gmail.com</t>
  </si>
  <si>
    <t>Fatimah bevi</t>
  </si>
  <si>
    <t>087852496125</t>
  </si>
  <si>
    <t>Surabaya</t>
  </si>
  <si>
    <t xml:space="preserve">Mhuma kebab </t>
  </si>
  <si>
    <t>Produsen</t>
  </si>
  <si>
    <t>novityas1111@gmail.com</t>
  </si>
  <si>
    <t>Novi</t>
  </si>
  <si>
    <t>0816514376</t>
  </si>
  <si>
    <t>Surabya</t>
  </si>
  <si>
    <t xml:space="preserve">Pt.waluyo utomo sejatera </t>
  </si>
  <si>
    <t>Distribusi</t>
  </si>
  <si>
    <t>&gt; 200-400 juta/bulan</t>
  </si>
  <si>
    <t>almoelawarman@gmail.com</t>
  </si>
  <si>
    <t>Tokokado</t>
  </si>
  <si>
    <t>081999888050</t>
  </si>
  <si>
    <t>Bojonegoro</t>
  </si>
  <si>
    <t>Kriya</t>
  </si>
  <si>
    <t>vectorku20@gmail.com</t>
  </si>
  <si>
    <t>Yea</t>
  </si>
  <si>
    <t>081212121201</t>
  </si>
  <si>
    <t>&gt; 5-10 karyawan</t>
  </si>
  <si>
    <t>&gt; 50-100 juta/bulan</t>
  </si>
  <si>
    <t>maremkeno1@gmail.com</t>
  </si>
  <si>
    <t>Marjono</t>
  </si>
  <si>
    <t>08155031916</t>
  </si>
  <si>
    <t>Kabupaten Pasuruan</t>
  </si>
  <si>
    <t>Maremke / Karya Barokah</t>
  </si>
  <si>
    <t>Oleh-oleh Camilan</t>
  </si>
  <si>
    <t>nienhusnaini@gmail.com</t>
  </si>
  <si>
    <t xml:space="preserve">Ninien N Husnaini </t>
  </si>
  <si>
    <t>081249227391</t>
  </si>
  <si>
    <t xml:space="preserve">Sidoarjo </t>
  </si>
  <si>
    <t>Teras 32</t>
  </si>
  <si>
    <t>Kuliner</t>
  </si>
  <si>
    <t>mahfudzsyarif@gmail.com</t>
  </si>
  <si>
    <t>Mahfyd</t>
  </si>
  <si>
    <t>08235858331</t>
  </si>
  <si>
    <t>Kediri</t>
  </si>
  <si>
    <t>Indoweb</t>
  </si>
  <si>
    <t>dokterimamkf@gmail.com</t>
  </si>
  <si>
    <t>Imam Khoirul Fajri</t>
  </si>
  <si>
    <t>085643353282</t>
  </si>
  <si>
    <t>Yogyakarta</t>
  </si>
  <si>
    <t>Kafa Medika Group</t>
  </si>
  <si>
    <t>Retail</t>
  </si>
  <si>
    <t>&gt; 20-50 karyawan</t>
  </si>
  <si>
    <t>&gt; 400-800 juta/bulan</t>
  </si>
  <si>
    <t>cepiawaludin53@gmail.com</t>
  </si>
  <si>
    <t xml:space="preserve">Cepi </t>
  </si>
  <si>
    <t>085133090044</t>
  </si>
  <si>
    <t xml:space="preserve">Kota serang </t>
  </si>
  <si>
    <t xml:space="preserve">Kang Cepi </t>
  </si>
  <si>
    <t>rzfsoft16@gmail.com</t>
  </si>
  <si>
    <t>Yudhi Heriyadi</t>
  </si>
  <si>
    <t>085295874529</t>
  </si>
  <si>
    <t>Kuningan Jawa Barat</t>
  </si>
  <si>
    <t>RZF Software</t>
  </si>
  <si>
    <t>&gt; 10-20 karyawan</t>
  </si>
  <si>
    <t>hadi.learners@gmail.com</t>
  </si>
  <si>
    <t>Hadi</t>
  </si>
  <si>
    <t>085745904999</t>
  </si>
  <si>
    <t>Alfa Pack</t>
  </si>
  <si>
    <t>khadijahsholihah28@gmail.com</t>
  </si>
  <si>
    <t>Lugas</t>
  </si>
  <si>
    <t>085732415181</t>
  </si>
  <si>
    <t>Kab Kediri</t>
  </si>
  <si>
    <t>Shultan</t>
  </si>
  <si>
    <t>Produksi/ Manufaktur</t>
  </si>
  <si>
    <t>nenirochmah94@gmail.com</t>
  </si>
  <si>
    <t xml:space="preserve">Neni Nur Rochmah </t>
  </si>
  <si>
    <t>081357379666</t>
  </si>
  <si>
    <t xml:space="preserve">Surabaya </t>
  </si>
  <si>
    <t xml:space="preserve">Huma Dhani </t>
  </si>
  <si>
    <t>Grosir Atribut Sekolah&amp;Pramuka</t>
  </si>
  <si>
    <t>agni.widyanto@gmail.com</t>
  </si>
  <si>
    <t>Agni Widyanto</t>
  </si>
  <si>
    <t>08157115931</t>
  </si>
  <si>
    <t>Tegal</t>
  </si>
  <si>
    <t>Arimbistar</t>
  </si>
  <si>
    <t>bilhaqfani2@gmail.com</t>
  </si>
  <si>
    <t xml:space="preserve">Washian Bilhaq Fani Dirgantara </t>
  </si>
  <si>
    <t>08157115932</t>
  </si>
  <si>
    <t xml:space="preserve">Pekalongan </t>
  </si>
  <si>
    <t xml:space="preserve">Resto Bebek Mantul </t>
  </si>
  <si>
    <t>distriklaten@gmail.com</t>
  </si>
  <si>
    <t xml:space="preserve">Udin Yuliyanto </t>
  </si>
  <si>
    <t>08157115933</t>
  </si>
  <si>
    <t xml:space="preserve">Klaten </t>
  </si>
  <si>
    <t xml:space="preserve">ManutQur'an </t>
  </si>
  <si>
    <t>fitridava60@gmail.com</t>
  </si>
  <si>
    <t>Fitti</t>
  </si>
  <si>
    <t>08157115934</t>
  </si>
  <si>
    <t>Toretore</t>
  </si>
  <si>
    <t>brosulisolo@gmail.com</t>
  </si>
  <si>
    <t>Tri Purnoto</t>
  </si>
  <si>
    <t>08157115935</t>
  </si>
  <si>
    <t>Sukoharjo</t>
  </si>
  <si>
    <t>Brosuli Cake &amp; Bakery</t>
  </si>
  <si>
    <t>&gt; 100-200 juta/bulan</t>
  </si>
  <si>
    <t>nurdin67hni@gmail.com</t>
  </si>
  <si>
    <t>Nurdin</t>
  </si>
  <si>
    <t>082385888168</t>
  </si>
  <si>
    <t>Pekanbaru</t>
  </si>
  <si>
    <t>Bussines center HNI Pekanbaru 2</t>
  </si>
  <si>
    <t>apriliasarip82@gmail.com</t>
  </si>
  <si>
    <t>Putri Apriliasari</t>
  </si>
  <si>
    <t>085123751618</t>
  </si>
  <si>
    <t>Kab Blitar</t>
  </si>
  <si>
    <t>Putri Property</t>
  </si>
  <si>
    <t>doweex@gmail.com</t>
  </si>
  <si>
    <t>Dwi Cahyono</t>
  </si>
  <si>
    <t>085331233278</t>
  </si>
  <si>
    <t>Ponorogo</t>
  </si>
  <si>
    <t>OZA WATER</t>
  </si>
  <si>
    <t>larasatikosim@gmail.com</t>
  </si>
  <si>
    <t>Ika Larasati</t>
  </si>
  <si>
    <t>081390280074</t>
  </si>
  <si>
    <t>Jepara</t>
  </si>
  <si>
    <t>Patra Group</t>
  </si>
  <si>
    <t>iamqueenindonesia@gmail.com</t>
  </si>
  <si>
    <t>Lusi</t>
  </si>
  <si>
    <t>082335975574</t>
  </si>
  <si>
    <t>Pempeknya ghina</t>
  </si>
  <si>
    <t>mubarokatul.latifah11@gmail.com</t>
  </si>
  <si>
    <t xml:space="preserve">Mubarokatul Latifah </t>
  </si>
  <si>
    <t>085889015767</t>
  </si>
  <si>
    <t xml:space="preserve">Nasi kuning Bu Latifah </t>
  </si>
  <si>
    <t>pondok.discus@gmail.com</t>
  </si>
  <si>
    <t>pondok</t>
  </si>
  <si>
    <t>0811223344</t>
  </si>
  <si>
    <t>Cianjur</t>
  </si>
  <si>
    <t>Pondok</t>
  </si>
  <si>
    <t>Perikanan</t>
  </si>
  <si>
    <t>aprilliaelina@gmail.com</t>
  </si>
  <si>
    <t>dedy pratama</t>
  </si>
  <si>
    <t>0881024207793</t>
  </si>
  <si>
    <t>surabaya</t>
  </si>
  <si>
    <t>pt. sogeh bareng</t>
  </si>
  <si>
    <t>novitajubbelina25@gmail.com</t>
  </si>
  <si>
    <t xml:space="preserve">PT. Sogeh Bareng Berguna </t>
  </si>
  <si>
    <t>0881027081121</t>
  </si>
  <si>
    <t>&gt; 100 karyawan</t>
  </si>
  <si>
    <t>taufikbatuasahan@gmail.com</t>
  </si>
  <si>
    <t>Taufik</t>
  </si>
  <si>
    <t>08111996789</t>
  </si>
  <si>
    <t>POIN</t>
  </si>
  <si>
    <t>wangimanca@gmail.com</t>
  </si>
  <si>
    <t>Tria</t>
  </si>
  <si>
    <t>08133369331</t>
  </si>
  <si>
    <t>Gresik</t>
  </si>
  <si>
    <t xml:space="preserve">Manca Wangi </t>
  </si>
  <si>
    <t>daniqa.cake@gmail.com</t>
  </si>
  <si>
    <t>Desi Arisanti</t>
  </si>
  <si>
    <t>0818123174</t>
  </si>
  <si>
    <t>Jakarta selatan</t>
  </si>
  <si>
    <t>Daniqa traditional cake</t>
  </si>
  <si>
    <t>bintangsintesamagetan@gmail.com</t>
  </si>
  <si>
    <t>Bintang G Ramadhani</t>
  </si>
  <si>
    <t>085892354168</t>
  </si>
  <si>
    <t>Ajib</t>
  </si>
  <si>
    <t>tri.agustina2888@gmail.com</t>
  </si>
  <si>
    <t xml:space="preserve">Tri Agustina </t>
  </si>
  <si>
    <t>081236022676</t>
  </si>
  <si>
    <t xml:space="preserve">Randumart </t>
  </si>
  <si>
    <t>ekokerjo75@gmail.com</t>
  </si>
  <si>
    <t>Eko</t>
  </si>
  <si>
    <t>08139157881</t>
  </si>
  <si>
    <t>Jember</t>
  </si>
  <si>
    <t>Sae printing</t>
  </si>
  <si>
    <t>pras6701@gmail.com</t>
  </si>
  <si>
    <t>Andi prasetyo</t>
  </si>
  <si>
    <t>082228954343</t>
  </si>
  <si>
    <t>Cv ageng sukses</t>
  </si>
  <si>
    <t>ratihistiawati1676@gmail.com</t>
  </si>
  <si>
    <t xml:space="preserve">Suyono </t>
  </si>
  <si>
    <t>0818907258</t>
  </si>
  <si>
    <t>Jakarta Timur</t>
  </si>
  <si>
    <t>NoNiNo Corner Food and Drink</t>
  </si>
  <si>
    <t>musyafirfitrhy@gmail.com</t>
  </si>
  <si>
    <t>Sembako</t>
  </si>
  <si>
    <t>082190754548</t>
  </si>
  <si>
    <t>Malakaji</t>
  </si>
  <si>
    <t>Sumber Berkah Family</t>
  </si>
  <si>
    <t>suluhpamungkas74@gmail.com</t>
  </si>
  <si>
    <t>Suluh</t>
  </si>
  <si>
    <t>087856405670</t>
  </si>
  <si>
    <t xml:space="preserve">Shania 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</si>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</sst>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G1" displayName="Form_Responses2" name="Form_Responses2" id="1">
  <tableColumns count="8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</tableColumns>
  <tableStyleInfo name="Form Responses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3:CS43" displayName="Form_Responses" name="Form_Responses" id="2">
  <tableColumns count="97">
    <tableColumn name="Timestamp" id="1"/>
    <tableColumn name="Email Address" id="2"/>
    <tableColumn name="Score" id="3"/>
    <tableColumn name="Nama Business Owner : " id="4"/>
    <tableColumn name="No. Telp/ WA Aktif : " id="5"/>
    <tableColumn name="Domisili Kota/Kabupaten Usaha :" id="6"/>
    <tableColumn name="Nama Brand/ Usaha :" id="7"/>
    <tableColumn name="Bidang Usaha :" id="8"/>
    <tableColumn name="Jumlah Karyawan" id="9"/>
    <tableColumn name="Omset/bulan" id="10"/>
    <tableColumn name="Vision &amp; Mission _x000a_1. Vision/ Visi" id="11"/>
    <tableColumn name="2. Mission/ Misi" id="12"/>
    <tableColumn name="3. Corporate Values/ Nilai Budaya" id="13"/>
    <tableColumn name="4. Business Model/ Model Bisnis" id="14"/>
    <tableColumn name="Employee Competency _x000a_5. Core/ Inti" id="15"/>
    <tableColumn name="6. Generic/ Umum" id="16"/>
    <tableColumn name="7. Specific Expertise/ Keahlian Khusus" id="17"/>
    <tableColumn name="Organizational Structure_x000a_8. Vertical Structure/ Struktur Vertikal" id="18"/>
    <tableColumn name="9. Horizontal Structure (Work Function Grouping)/ Struktur Horisontal (Pengelompokan Fungsi Kerja)" id="19"/>
    <tableColumn name="10. Job Code/ Kode Pekerjaan" id="20"/>
    <tableColumn name="11. Job Specification/ Spesifikasi Pekerjaan" id="21"/>
    <tableColumn name="12. Job Requirement / Persyaratan Pekerjaan" id="22"/>
    <tableColumn name="13. Job Description/ Deskripsi Pekerjaan" id="23"/>
    <tableColumn name="14. Key Performance Indicator/ KPI" id="24"/>
    <tableColumn name="Career Track _x000a_15. Point System/ Sistem Poin" id="25"/>
    <tableColumn name="16. Leveling Evaluation Scheme/ Skema Evaluasi Level" id="26"/>
    <tableColumn name="17. Talent Pool Scheme/ Skema Talent Pool" id="27"/>
    <tableColumn name="Organizatinal Deveopment Management" id="28"/>
    <tableColumn name="%Bagian1" id="29"/>
    <tableColumn name="External Rules_x000a_18. Undang – Undang Ketenagakerjaan" id="30"/>
    <tableColumn name="19. Peraturan Pemerintah" id="31"/>
    <tableColumn name="20. Keputusan Presiden" id="32"/>
    <tableColumn name="21. Keputusan Menteri" id="33"/>
    <tableColumn name="22. Peraturan Menteri" id="34"/>
    <tableColumn name="23. Peraturan Lain" id="35"/>
    <tableColumn name="Internal Rules_x000a_24. Perjanjian Kerja Bersama / Peraturan Perusahaan" id="36"/>
    <tableColumn name="25. Surat Keputusan Direksi" id="37"/>
    <tableColumn name="26. Surat Edaran Direksi" id="38"/>
    <tableColumn name="Personal Letter _x000a_27. Internal Memo" id="39"/>
    <tableColumn name="28. Contract Letter/ Surat Kontrak" id="40"/>
    <tableColumn name="29. Decision Letter/ Surat Keputusan" id="41"/>
    <tableColumn name="30. Warning Letter/ Surat Peringatan" id="42"/>
    <tableColumn name="31. Certificate Work/ Sertifikat Kerja" id="43"/>
    <tableColumn name="32. Coaching Note/ Catatan Pelatihan" id="44"/>
    <tableColumn name="Industrial Relationship Management" id="45"/>
    <tableColumn name="%Bagian 2" id="46"/>
    <tableColumn name="Abcence Scheme_x000a_33. Work Schedule &amp; Rule/ Jadwal &amp; Peraturan Kerja" id="47"/>
    <tableColumn name="34. Employee Grouping/ Pengelompokan Karyawan" id="48"/>
    <tableColumn name="35. Permittance Scheme/ Skema Perizinan" id="49"/>
    <tableColumn name="36. Reporting Evaluation/ Pelaporan &amp; Evaluasi" id="50"/>
    <tableColumn name="Capital Scheme_x000a_37. Ratio Labor Cost vs Gross Profit/ Rasio Biaya Tenaga Kerja vs Laba Kotor" id="51"/>
    <tableColumn name="38. Koperasi" id="52"/>
    <tableColumn name="Payroll Scheme _x000a_39. Basic Salary Scheme/ Skema Gaji Pokok" id="53"/>
    <tableColumn name="40. Allowance Scheme/ Skema Tunjangan" id="54"/>
    <tableColumn name="41. Overtime Scheme/ Skema Lembur" id="55"/>
    <tableColumn name="42. Insurance scheme/ Skema Asuransi" id="56"/>
    <tableColumn name="43. Tax Scheme/ Skema Pajak" id="57"/>
    <tableColumn name="Benefit Scheme _x000a_44. Tool &amp; Working Equipment/ Alat &amp; Perlengkapan kerja" id="58"/>
    <tableColumn name="45. Official Travel Scheme/ Skema Perjalanan Dinas" id="59"/>
    <tableColumn name="46. Cash Insentif/ Bonus" id="60"/>
    <tableColumn name="47. Vehicle Scheme/ Skema Kendaraan" id="61"/>
    <tableColumn name="Compensation &amp; Benefit  Management" id="62"/>
    <tableColumn name="%Bagian 3" id="63"/>
    <tableColumn name="Performance Apraisal_x000a_48. Contract Evaluation/ Evaluasi Kontrak" id="64"/>
    <tableColumn name="49. Regular Evaluation/ Evaluasi Reguler" id="65"/>
    <tableColumn name="50. Assessment Program/ Program Asesmen" id="66"/>
    <tableColumn name="Learning &amp; Development _x000a_51. Learning Culture/ Budaya Belajar" id="67"/>
    <tableColumn name="People Development Management" id="68"/>
    <tableColumn name="%Bagian 4" id="69"/>
    <tableColumn name="52. L&amp;D Design/ Desain L&amp;D" id="70"/>
    <tableColumn name="53. L&amp;D Evaluation/ Evaluasi L&amp;D" id="71"/>
    <tableColumn name="Man Power Planning_x000a_54. Job Code/ Kode Pekerjaan" id="72"/>
    <tableColumn name="55. Jumlah Kebutuhan" id="73"/>
    <tableColumn name="56. Employee Specification/ Spesifikasi Karyawan" id="74"/>
    <tableColumn name="57. Join Date as Employee/ Tanggal Bergabung sebagai Karyawan" id="75"/>
    <tableColumn name="58. Retirement/ Pensiunan" id="76"/>
    <tableColumn name="Candidate Relationship_x000a_59. Personal Data/ Data Pribadi (Kandidat)" id="77"/>
    <tableColumn name="60. Family Data/ Data Keluarga (Kandidat)" id="78"/>
    <tableColumn name="61. Education/ Pendidikan (Kandidat)" id="79"/>
    <tableColumn name="62. Job Experiences/ Pengalaman Kerja (Kandidat)" id="80"/>
    <tableColumn name="Recruitment Test_x000a_63. First Step Recruitment/ Rekrutmen Tahap Pertama" id="81"/>
    <tableColumn name="64. Evaluation/ Evaluasi" id="82"/>
    <tableColumn name="65. Health/ Kesehatan" id="83"/>
    <tableColumn name="66. Reference Cross Check/ Cek Referensi Kerja" id="84"/>
    <tableColumn name="Employee Database _x000a_67. Personal/ Pribadi (Karyawan)" id="85"/>
    <tableColumn name="68. Family Data/ Data Keluarga (Karyawan)" id="86"/>
    <tableColumn name="69. Education/ Pendidikan (Karyawan)" id="87"/>
    <tableColumn name="70. Job Experiences/ Pengalaman Kerja (Karyawan)" id="88"/>
    <tableColumn name="Employee Profile _x000a_71. Organization Development/ Pengembangan Organisasi" id="89"/>
    <tableColumn name="72. Industrial Relation/ Relasi Industri" id="90"/>
    <tableColumn name="73. Compensation &amp; Benefit/ Kompensasi &amp; Manfaat" id="91"/>
    <tableColumn name="74. People Development/ Pengembangan SDM" id="92"/>
    <tableColumn name="75. Employment/ Kepegawaian" id="93"/>
    <tableColumn name="Employement Management" id="94"/>
    <tableColumn name="%Bagian 5" id="95"/>
    <tableColumn name="Total" id="96"/>
    <tableColumn name="% Total" id="9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5</v>
      </c>
    </row>
    <row r="7">
      <c r="A7" s="2" t="s">
        <v>11</v>
      </c>
      <c r="B7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0"/>
    <col customWidth="1" min="5" max="5" width="19.88"/>
    <col customWidth="1" min="6" max="6" width="18.88"/>
    <col customWidth="1" min="7" max="7" width="20.88"/>
    <col customWidth="1" min="8" max="12" width="18.88"/>
    <col customWidth="1" min="13" max="13" width="27.88"/>
    <col customWidth="1" min="14" max="14" width="27.25"/>
    <col customWidth="1" min="15" max="16" width="18.88"/>
    <col customWidth="1" min="17" max="17" width="31.38"/>
    <col customWidth="1" min="18" max="18" width="30.63"/>
    <col customWidth="1" min="19" max="19" width="37.63"/>
    <col customWidth="1" min="20" max="20" width="24.63"/>
    <col customWidth="1" min="21" max="21" width="34.5"/>
    <col customWidth="1" min="22" max="22" width="35.38"/>
    <col customWidth="1" min="23" max="23" width="32.13"/>
    <col customWidth="1" min="24" max="24" width="28.25"/>
    <col customWidth="1" min="25" max="25" width="24.75"/>
    <col customWidth="1" min="26" max="26" width="37.63"/>
    <col customWidth="1" min="27" max="27" width="34.25"/>
    <col customWidth="1" min="28" max="28" width="30.88"/>
    <col customWidth="1" min="29" max="29" width="21.13"/>
    <col customWidth="1" min="30" max="30" width="19.88"/>
    <col customWidth="1" min="31" max="31" width="19.13"/>
    <col customWidth="1" min="32" max="33" width="18.88"/>
    <col customWidth="1" min="34" max="34" width="37.63"/>
    <col customWidth="1" min="35" max="35" width="22.63"/>
    <col customWidth="1" min="36" max="36" width="20.0"/>
    <col customWidth="1" min="37" max="37" width="18.88"/>
    <col customWidth="1" min="38" max="38" width="27.13"/>
    <col customWidth="1" min="39" max="39" width="29.25"/>
    <col customWidth="1" min="40" max="40" width="29.13"/>
    <col customWidth="1" min="41" max="41" width="28.75"/>
    <col customWidth="1" min="42" max="42" width="30.0"/>
    <col customWidth="1" min="43" max="44" width="37.63"/>
    <col customWidth="1" min="45" max="45" width="33.63"/>
    <col customWidth="1" min="46" max="46" width="36.5"/>
    <col customWidth="1" min="47" max="47" width="33.88"/>
    <col customWidth="1" min="48" max="48" width="18.88"/>
    <col customWidth="1" min="49" max="49" width="34.63"/>
    <col customWidth="1" min="50" max="50" width="33.13"/>
    <col customWidth="1" min="51" max="51" width="30.13"/>
    <col customWidth="1" min="52" max="52" width="31.75"/>
    <col customWidth="1" min="53" max="53" width="24.63"/>
    <col customWidth="1" min="54" max="54" width="25.13"/>
    <col customWidth="1" min="55" max="55" width="37.63"/>
    <col customWidth="1" min="56" max="56" width="20.63"/>
    <col customWidth="1" min="57" max="57" width="31.13"/>
    <col customWidth="1" min="58" max="58" width="32.5"/>
    <col customWidth="1" min="59" max="59" width="31.75"/>
    <col customWidth="1" min="60" max="60" width="35.5"/>
    <col customWidth="1" min="61" max="61" width="29.0"/>
    <col customWidth="1" min="62" max="62" width="23.13"/>
    <col customWidth="1" min="63" max="63" width="26.63"/>
    <col customWidth="1" min="64" max="64" width="24.63"/>
    <col customWidth="1" min="65" max="65" width="19.0"/>
    <col customWidth="1" min="66" max="67" width="37.63"/>
    <col customWidth="1" min="68" max="68" width="22.0"/>
    <col customWidth="1" min="69" max="69" width="25.5"/>
    <col customWidth="1" min="70" max="70" width="25.13"/>
    <col customWidth="1" min="71" max="71" width="21.75"/>
    <col customWidth="1" min="72" max="72" width="31.5"/>
    <col customWidth="1" min="73" max="73" width="37.63"/>
    <col customWidth="1" min="74" max="74" width="20.0"/>
    <col customWidth="1" min="75" max="75" width="18.88"/>
    <col customWidth="1" min="76" max="76" width="37.25"/>
    <col customWidth="1" min="77" max="77" width="18.88"/>
    <col customWidth="1" min="78" max="78" width="25.13"/>
    <col customWidth="1" min="79" max="79" width="21.75"/>
    <col customWidth="1" min="80" max="80" width="31.5"/>
    <col customWidth="1" min="81" max="81" width="37.63"/>
    <col customWidth="1" min="82" max="82" width="29.75"/>
    <col customWidth="1" min="83" max="83" width="37.63"/>
    <col customWidth="1" min="84" max="84" width="36.63"/>
    <col customWidth="1" min="85" max="85" width="25.25"/>
    <col customWidth="1" min="86" max="91" width="18.88"/>
  </cols>
  <sheetData>
    <row r="1" ht="22.5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3" t="s">
        <v>65</v>
      </c>
      <c r="BB1" s="3" t="s">
        <v>66</v>
      </c>
      <c r="BC1" s="3" t="s">
        <v>67</v>
      </c>
      <c r="BD1" s="3" t="s">
        <v>68</v>
      </c>
      <c r="BE1" s="3" t="s">
        <v>69</v>
      </c>
      <c r="BF1" s="3" t="s">
        <v>70</v>
      </c>
      <c r="BG1" s="3" t="s">
        <v>71</v>
      </c>
      <c r="BH1" s="3" t="s">
        <v>72</v>
      </c>
      <c r="BI1" s="3" t="s">
        <v>73</v>
      </c>
      <c r="BJ1" s="3" t="s">
        <v>74</v>
      </c>
      <c r="BK1" s="3" t="s">
        <v>75</v>
      </c>
      <c r="BL1" s="3" t="s">
        <v>32</v>
      </c>
      <c r="BM1" s="3" t="s">
        <v>76</v>
      </c>
      <c r="BN1" s="3" t="s">
        <v>77</v>
      </c>
      <c r="BO1" s="3" t="s">
        <v>78</v>
      </c>
      <c r="BP1" s="3" t="s">
        <v>79</v>
      </c>
      <c r="BQ1" s="3" t="s">
        <v>80</v>
      </c>
      <c r="BR1" s="3" t="s">
        <v>81</v>
      </c>
      <c r="BS1" s="3" t="s">
        <v>82</v>
      </c>
      <c r="BT1" s="3" t="s">
        <v>83</v>
      </c>
      <c r="BU1" s="3" t="s">
        <v>84</v>
      </c>
      <c r="BV1" s="3" t="s">
        <v>85</v>
      </c>
      <c r="BW1" s="3" t="s">
        <v>86</v>
      </c>
      <c r="BX1" s="3" t="s">
        <v>87</v>
      </c>
      <c r="BY1" s="3" t="s">
        <v>88</v>
      </c>
      <c r="BZ1" s="3" t="s">
        <v>89</v>
      </c>
      <c r="CA1" s="3" t="s">
        <v>90</v>
      </c>
      <c r="CB1" s="3" t="s">
        <v>83</v>
      </c>
      <c r="CC1" s="3" t="s">
        <v>91</v>
      </c>
      <c r="CD1" s="3" t="s">
        <v>92</v>
      </c>
      <c r="CE1" s="3" t="s">
        <v>93</v>
      </c>
      <c r="CF1" s="3" t="s">
        <v>94</v>
      </c>
      <c r="CG1" s="3" t="s">
        <v>95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29.5"/>
    <col customWidth="1" min="5" max="5" width="19.88"/>
    <col customWidth="1" min="6" max="6" width="18.88"/>
    <col customWidth="1" min="7" max="7" width="20.88"/>
    <col customWidth="1" min="8" max="12" width="18.88"/>
    <col customWidth="1" min="13" max="13" width="27.88"/>
    <col customWidth="1" min="14" max="14" width="27.25"/>
    <col customWidth="1" min="15" max="16" width="18.88"/>
    <col customWidth="1" min="17" max="17" width="31.38"/>
    <col customWidth="1" min="18" max="18" width="30.63"/>
    <col customWidth="1" min="19" max="19" width="37.63"/>
    <col customWidth="1" min="20" max="20" width="24.63"/>
    <col customWidth="1" min="21" max="21" width="34.5"/>
    <col customWidth="1" min="22" max="22" width="35.38"/>
    <col customWidth="1" min="23" max="23" width="32.13"/>
    <col customWidth="1" min="24" max="24" width="28.25"/>
    <col customWidth="1" min="25" max="25" width="24.75"/>
    <col customWidth="1" min="26" max="26" width="37.63"/>
    <col customWidth="1" min="27" max="27" width="34.25"/>
    <col customWidth="1" min="28" max="28" width="30.88"/>
    <col customWidth="1" min="29" max="29" width="16.0"/>
    <col customWidth="1" min="30" max="30" width="30.88"/>
    <col customWidth="1" min="31" max="31" width="21.13"/>
    <col customWidth="1" min="32" max="32" width="19.88"/>
    <col customWidth="1" min="33" max="33" width="19.13"/>
    <col customWidth="1" min="34" max="35" width="18.88"/>
    <col customWidth="1" min="36" max="36" width="37.63"/>
    <col customWidth="1" min="37" max="37" width="22.63"/>
    <col customWidth="1" min="38" max="38" width="20.0"/>
    <col customWidth="1" min="39" max="39" width="18.88"/>
    <col customWidth="1" min="40" max="40" width="27.13"/>
    <col customWidth="1" min="41" max="41" width="29.25"/>
    <col customWidth="1" min="42" max="42" width="29.13"/>
    <col customWidth="1" min="43" max="43" width="28.75"/>
    <col customWidth="1" min="44" max="44" width="30.0"/>
    <col customWidth="1" min="45" max="45" width="32.25"/>
    <col customWidth="1" min="46" max="46" width="16.38"/>
    <col customWidth="1" min="47" max="48" width="37.63"/>
    <col customWidth="1" min="49" max="49" width="33.63"/>
    <col customWidth="1" min="50" max="50" width="36.5"/>
    <col customWidth="1" min="51" max="51" width="33.88"/>
    <col customWidth="1" min="52" max="52" width="18.88"/>
    <col customWidth="1" min="53" max="53" width="34.63"/>
    <col customWidth="1" min="54" max="54" width="33.13"/>
    <col customWidth="1" min="55" max="55" width="30.13"/>
    <col customWidth="1" min="56" max="56" width="31.75"/>
    <col customWidth="1" min="57" max="57" width="24.63"/>
    <col customWidth="1" min="58" max="58" width="25.13"/>
    <col customWidth="1" min="59" max="59" width="37.63"/>
    <col customWidth="1" min="60" max="60" width="20.63"/>
    <col customWidth="1" min="61" max="61" width="31.13"/>
    <col customWidth="1" min="62" max="64" width="32.5"/>
    <col customWidth="1" min="65" max="65" width="31.75"/>
    <col customWidth="1" min="66" max="66" width="35.5"/>
    <col customWidth="1" min="67" max="67" width="29.0"/>
    <col customWidth="1" min="68" max="70" width="23.13"/>
    <col customWidth="1" min="71" max="71" width="26.63"/>
    <col customWidth="1" min="72" max="72" width="24.63"/>
    <col customWidth="1" min="73" max="73" width="19.0"/>
    <col customWidth="1" min="74" max="75" width="37.63"/>
    <col customWidth="1" min="76" max="76" width="22.0"/>
    <col customWidth="1" min="77" max="77" width="25.5"/>
    <col customWidth="1" min="78" max="78" width="25.13"/>
    <col customWidth="1" min="79" max="79" width="21.75"/>
    <col customWidth="1" min="80" max="80" width="31.5"/>
    <col customWidth="1" min="81" max="81" width="37.63"/>
    <col customWidth="1" min="82" max="82" width="20.0"/>
    <col customWidth="1" min="83" max="83" width="18.88"/>
    <col customWidth="1" min="84" max="84" width="37.25"/>
    <col customWidth="1" min="85" max="85" width="18.88"/>
    <col customWidth="1" min="86" max="86" width="25.13"/>
    <col customWidth="1" min="87" max="87" width="21.75"/>
    <col customWidth="1" min="88" max="88" width="31.5"/>
    <col customWidth="1" min="89" max="89" width="37.63"/>
    <col customWidth="1" min="90" max="90" width="29.75"/>
    <col customWidth="1" min="91" max="91" width="37.63"/>
    <col customWidth="1" min="92" max="92" width="36.63"/>
    <col customWidth="1" min="93" max="97" width="25.25"/>
    <col customWidth="1" min="98" max="103" width="18.8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4"/>
      <c r="V1" s="4"/>
      <c r="W1" s="4"/>
      <c r="X1" s="4"/>
      <c r="Y1" s="4"/>
      <c r="Z1" s="4"/>
      <c r="AA1" s="4"/>
      <c r="AB1" s="4"/>
      <c r="AC1" s="6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5"/>
      <c r="BU1" s="4"/>
      <c r="BV1" s="4"/>
      <c r="BW1" s="4"/>
      <c r="BX1" s="4"/>
      <c r="BY1" s="4"/>
      <c r="BZ1" s="4"/>
      <c r="CA1" s="4"/>
      <c r="CB1" s="5"/>
      <c r="CC1" s="4"/>
      <c r="CD1" s="4"/>
      <c r="CE1" s="4"/>
      <c r="CF1" s="4"/>
      <c r="CG1" s="4"/>
      <c r="CH1" s="4"/>
      <c r="CI1" s="4"/>
      <c r="CJ1" s="5"/>
      <c r="CK1" s="4"/>
      <c r="CL1" s="4"/>
      <c r="CM1" s="4"/>
      <c r="CN1" s="4"/>
      <c r="CO1" s="4"/>
      <c r="CP1" s="4"/>
      <c r="CQ1" s="4"/>
      <c r="CR1" s="4"/>
      <c r="CS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5"/>
      <c r="L2" s="4"/>
      <c r="M2" s="4"/>
      <c r="N2" s="4"/>
      <c r="O2" s="4"/>
      <c r="P2" s="4"/>
      <c r="Q2" s="4"/>
      <c r="R2" s="4"/>
      <c r="S2" s="4"/>
      <c r="T2" s="5" t="s">
        <v>96</v>
      </c>
      <c r="U2" s="4"/>
      <c r="V2" s="4"/>
      <c r="W2" s="4"/>
      <c r="X2" s="4"/>
      <c r="Y2" s="4"/>
      <c r="Z2" s="4"/>
      <c r="AA2" s="4"/>
      <c r="AB2" s="5">
        <v>1.0</v>
      </c>
      <c r="AC2" s="6">
        <v>34.0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>
        <v>2.0</v>
      </c>
      <c r="AT2" s="5">
        <v>30.0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5">
        <v>3.0</v>
      </c>
      <c r="BK2" s="5">
        <v>28.0</v>
      </c>
      <c r="BL2" s="4"/>
      <c r="BM2" s="4"/>
      <c r="BN2" s="4"/>
      <c r="BO2" s="4"/>
      <c r="BP2" s="4"/>
      <c r="BQ2" s="5">
        <v>8.0</v>
      </c>
      <c r="BR2" s="4"/>
      <c r="BS2" s="4"/>
      <c r="BT2" s="5" t="s">
        <v>97</v>
      </c>
      <c r="BU2" s="4"/>
      <c r="BV2" s="4"/>
      <c r="BW2" s="4"/>
      <c r="BX2" s="4"/>
      <c r="BY2" s="4"/>
      <c r="BZ2" s="4"/>
      <c r="CA2" s="4"/>
      <c r="CB2" s="5" t="s">
        <v>98</v>
      </c>
      <c r="CC2" s="4"/>
      <c r="CD2" s="4"/>
      <c r="CE2" s="4"/>
      <c r="CF2" s="4"/>
      <c r="CG2" s="4"/>
      <c r="CH2" s="4"/>
      <c r="CI2" s="4"/>
      <c r="CJ2" s="5" t="s">
        <v>99</v>
      </c>
      <c r="CK2" s="4"/>
      <c r="CL2" s="4"/>
      <c r="CM2" s="4"/>
      <c r="CN2" s="4"/>
      <c r="CO2" s="4"/>
      <c r="CP2" s="4"/>
      <c r="CQ2" s="5">
        <v>48.0</v>
      </c>
      <c r="CR2" s="5"/>
      <c r="CS2" s="5">
        <v>150.0</v>
      </c>
    </row>
    <row r="3" ht="22.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100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101</v>
      </c>
      <c r="L3" s="3" t="s">
        <v>102</v>
      </c>
      <c r="M3" s="3" t="s">
        <v>103</v>
      </c>
      <c r="N3" s="3" t="s">
        <v>104</v>
      </c>
      <c r="O3" s="3" t="s">
        <v>105</v>
      </c>
      <c r="P3" s="3" t="s">
        <v>106</v>
      </c>
      <c r="Q3" s="3" t="s">
        <v>107</v>
      </c>
      <c r="R3" s="3" t="s">
        <v>108</v>
      </c>
      <c r="S3" s="3" t="s">
        <v>109</v>
      </c>
      <c r="T3" s="3" t="s">
        <v>110</v>
      </c>
      <c r="U3" s="3" t="s">
        <v>111</v>
      </c>
      <c r="V3" s="3" t="s">
        <v>112</v>
      </c>
      <c r="W3" s="3" t="s">
        <v>113</v>
      </c>
      <c r="X3" s="3" t="s">
        <v>114</v>
      </c>
      <c r="Y3" s="3" t="s">
        <v>115</v>
      </c>
      <c r="Z3" s="3" t="s">
        <v>116</v>
      </c>
      <c r="AA3" s="3" t="s">
        <v>117</v>
      </c>
      <c r="AB3" s="7" t="s">
        <v>118</v>
      </c>
      <c r="AC3" s="7" t="s">
        <v>119</v>
      </c>
      <c r="AD3" s="3" t="s">
        <v>120</v>
      </c>
      <c r="AE3" s="3" t="s">
        <v>121</v>
      </c>
      <c r="AF3" s="3" t="s">
        <v>122</v>
      </c>
      <c r="AG3" s="3" t="s">
        <v>123</v>
      </c>
      <c r="AH3" s="3" t="s">
        <v>124</v>
      </c>
      <c r="AI3" s="3" t="s">
        <v>125</v>
      </c>
      <c r="AJ3" s="3" t="s">
        <v>126</v>
      </c>
      <c r="AK3" s="3" t="s">
        <v>127</v>
      </c>
      <c r="AL3" s="3" t="s">
        <v>128</v>
      </c>
      <c r="AM3" s="3" t="s">
        <v>129</v>
      </c>
      <c r="AN3" s="3" t="s">
        <v>130</v>
      </c>
      <c r="AO3" s="3" t="s">
        <v>131</v>
      </c>
      <c r="AP3" s="3" t="s">
        <v>132</v>
      </c>
      <c r="AQ3" s="3" t="s">
        <v>133</v>
      </c>
      <c r="AR3" s="3" t="s">
        <v>134</v>
      </c>
      <c r="AS3" s="7" t="s">
        <v>135</v>
      </c>
      <c r="AT3" s="7" t="s">
        <v>136</v>
      </c>
      <c r="AU3" s="3" t="s">
        <v>137</v>
      </c>
      <c r="AV3" s="3" t="s">
        <v>138</v>
      </c>
      <c r="AW3" s="3" t="s">
        <v>139</v>
      </c>
      <c r="AX3" s="3" t="s">
        <v>140</v>
      </c>
      <c r="AY3" s="3" t="s">
        <v>141</v>
      </c>
      <c r="AZ3" s="3" t="s">
        <v>142</v>
      </c>
      <c r="BA3" s="3" t="s">
        <v>143</v>
      </c>
      <c r="BB3" s="3" t="s">
        <v>144</v>
      </c>
      <c r="BC3" s="3" t="s">
        <v>145</v>
      </c>
      <c r="BD3" s="3" t="s">
        <v>146</v>
      </c>
      <c r="BE3" s="3" t="s">
        <v>147</v>
      </c>
      <c r="BF3" s="3" t="s">
        <v>148</v>
      </c>
      <c r="BG3" s="3" t="s">
        <v>149</v>
      </c>
      <c r="BH3" s="3" t="s">
        <v>150</v>
      </c>
      <c r="BI3" s="3" t="s">
        <v>151</v>
      </c>
      <c r="BJ3" s="7" t="s">
        <v>152</v>
      </c>
      <c r="BK3" s="7" t="s">
        <v>153</v>
      </c>
      <c r="BL3" s="3" t="s">
        <v>154</v>
      </c>
      <c r="BM3" s="3" t="s">
        <v>155</v>
      </c>
      <c r="BN3" s="3" t="s">
        <v>156</v>
      </c>
      <c r="BO3" s="3" t="s">
        <v>157</v>
      </c>
      <c r="BP3" s="7" t="s">
        <v>158</v>
      </c>
      <c r="BQ3" s="7" t="s">
        <v>159</v>
      </c>
      <c r="BR3" s="3" t="s">
        <v>160</v>
      </c>
      <c r="BS3" s="3" t="s">
        <v>161</v>
      </c>
      <c r="BT3" s="3" t="s">
        <v>162</v>
      </c>
      <c r="BU3" s="3" t="s">
        <v>163</v>
      </c>
      <c r="BV3" s="3" t="s">
        <v>164</v>
      </c>
      <c r="BW3" s="3" t="s">
        <v>165</v>
      </c>
      <c r="BX3" s="3" t="s">
        <v>166</v>
      </c>
      <c r="BY3" s="3" t="s">
        <v>167</v>
      </c>
      <c r="BZ3" s="3" t="s">
        <v>168</v>
      </c>
      <c r="CA3" s="3" t="s">
        <v>169</v>
      </c>
      <c r="CB3" s="3" t="s">
        <v>170</v>
      </c>
      <c r="CC3" s="3" t="s">
        <v>171</v>
      </c>
      <c r="CD3" s="3" t="s">
        <v>172</v>
      </c>
      <c r="CE3" s="3" t="s">
        <v>173</v>
      </c>
      <c r="CF3" s="3" t="s">
        <v>174</v>
      </c>
      <c r="CG3" s="3" t="s">
        <v>175</v>
      </c>
      <c r="CH3" s="3" t="s">
        <v>176</v>
      </c>
      <c r="CI3" s="3" t="s">
        <v>177</v>
      </c>
      <c r="CJ3" s="3" t="s">
        <v>178</v>
      </c>
      <c r="CK3" s="3" t="s">
        <v>179</v>
      </c>
      <c r="CL3" s="3" t="s">
        <v>180</v>
      </c>
      <c r="CM3" s="3" t="s">
        <v>181</v>
      </c>
      <c r="CN3" s="3" t="s">
        <v>182</v>
      </c>
      <c r="CO3" s="3" t="s">
        <v>183</v>
      </c>
      <c r="CP3" s="7" t="s">
        <v>184</v>
      </c>
      <c r="CQ3" s="7" t="s">
        <v>185</v>
      </c>
      <c r="CR3" s="7" t="s">
        <v>186</v>
      </c>
      <c r="CS3" s="7" t="s">
        <v>187</v>
      </c>
    </row>
    <row r="4" ht="22.5" customHeight="1">
      <c r="A4" s="8">
        <v>46135.619065833336</v>
      </c>
      <c r="B4" s="9" t="s">
        <v>188</v>
      </c>
      <c r="C4" s="10">
        <v>0.0</v>
      </c>
      <c r="D4" s="9" t="s">
        <v>189</v>
      </c>
      <c r="E4" s="11" t="s">
        <v>190</v>
      </c>
      <c r="F4" s="9" t="s">
        <v>191</v>
      </c>
      <c r="G4" s="9" t="s">
        <v>192</v>
      </c>
      <c r="H4" s="9" t="s">
        <v>193</v>
      </c>
      <c r="I4" s="9" t="s">
        <v>194</v>
      </c>
      <c r="J4" s="9" t="s">
        <v>195</v>
      </c>
      <c r="K4" s="9">
        <v>2.0</v>
      </c>
      <c r="L4" s="9">
        <v>2.0</v>
      </c>
      <c r="M4" s="9">
        <v>2.0</v>
      </c>
      <c r="N4" s="9">
        <v>2.0</v>
      </c>
      <c r="O4" s="9">
        <v>1.0</v>
      </c>
      <c r="P4" s="9">
        <v>1.0</v>
      </c>
      <c r="Q4" s="9">
        <v>1.0</v>
      </c>
      <c r="R4" s="9">
        <v>1.0</v>
      </c>
      <c r="S4" s="9">
        <v>1.0</v>
      </c>
      <c r="T4" s="9">
        <v>1.0</v>
      </c>
      <c r="U4" s="9">
        <v>1.0</v>
      </c>
      <c r="V4" s="9">
        <v>2.0</v>
      </c>
      <c r="W4" s="9">
        <v>2.0</v>
      </c>
      <c r="X4" s="9">
        <v>2.0</v>
      </c>
      <c r="Y4" s="9">
        <v>1.0</v>
      </c>
      <c r="Z4" s="9">
        <v>1.0</v>
      </c>
      <c r="AA4" s="9">
        <v>1.0</v>
      </c>
      <c r="AB4" s="9">
        <f t="shared" ref="AB4:AB43" si="1">sum(K4:AA4)</f>
        <v>24</v>
      </c>
      <c r="AC4" s="12">
        <f t="shared" ref="AC4:AC43" si="2">AB4/$AC$2</f>
        <v>0.7058823529</v>
      </c>
      <c r="AD4" s="9">
        <v>2.0</v>
      </c>
      <c r="AE4" s="9">
        <v>1.0</v>
      </c>
      <c r="AF4" s="9">
        <v>1.0</v>
      </c>
      <c r="AG4" s="9">
        <v>1.0</v>
      </c>
      <c r="AH4" s="9">
        <v>1.0</v>
      </c>
      <c r="AI4" s="9">
        <v>2.0</v>
      </c>
      <c r="AJ4" s="9">
        <v>2.0</v>
      </c>
      <c r="AK4" s="9">
        <v>1.0</v>
      </c>
      <c r="AL4" s="9">
        <v>1.0</v>
      </c>
      <c r="AM4" s="9">
        <v>1.0</v>
      </c>
      <c r="AN4" s="9">
        <v>1.0</v>
      </c>
      <c r="AO4" s="9">
        <v>2.0</v>
      </c>
      <c r="AP4" s="9">
        <v>2.0</v>
      </c>
      <c r="AQ4" s="9">
        <v>2.0</v>
      </c>
      <c r="AR4" s="9">
        <v>2.0</v>
      </c>
      <c r="AS4" s="9">
        <f t="shared" ref="AS4:AS43" si="3">sum(AD4:AR4)</f>
        <v>22</v>
      </c>
      <c r="AT4" s="12">
        <f t="shared" ref="AT4:AT43" si="4">AS4/$AT$2</f>
        <v>0.7333333333</v>
      </c>
      <c r="AU4" s="9">
        <v>1.0</v>
      </c>
      <c r="AV4" s="9">
        <v>2.0</v>
      </c>
      <c r="AW4" s="9">
        <v>2.0</v>
      </c>
      <c r="AX4" s="9">
        <v>1.0</v>
      </c>
      <c r="AY4" s="9">
        <v>1.0</v>
      </c>
      <c r="AZ4" s="9">
        <v>1.0</v>
      </c>
      <c r="BA4" s="9">
        <v>1.0</v>
      </c>
      <c r="BB4" s="9">
        <v>1.0</v>
      </c>
      <c r="BC4" s="9">
        <v>1.0</v>
      </c>
      <c r="BD4" s="9">
        <v>1.0</v>
      </c>
      <c r="BE4" s="9">
        <v>1.0</v>
      </c>
      <c r="BF4" s="9">
        <v>2.0</v>
      </c>
      <c r="BG4" s="9">
        <v>2.0</v>
      </c>
      <c r="BH4" s="9">
        <v>2.0</v>
      </c>
      <c r="BI4" s="9">
        <v>1.0</v>
      </c>
      <c r="BJ4" s="9">
        <f t="shared" ref="BJ4:BJ43" si="5">sum(AU4:BI4)</f>
        <v>20</v>
      </c>
      <c r="BK4" s="12">
        <f t="shared" ref="BK4:BK43" si="6">BJ4/$BK$2</f>
        <v>0.7142857143</v>
      </c>
      <c r="BL4" s="9">
        <v>2.0</v>
      </c>
      <c r="BM4" s="9">
        <v>2.0</v>
      </c>
      <c r="BN4" s="9">
        <v>2.0</v>
      </c>
      <c r="BO4" s="9">
        <v>2.0</v>
      </c>
      <c r="BP4" s="9">
        <f t="shared" ref="BP4:BP43" si="7">sum(BL4:BO4)</f>
        <v>8</v>
      </c>
      <c r="BQ4" s="12">
        <f t="shared" ref="BQ4:BQ43" si="8">BP4/$BQ$2</f>
        <v>1</v>
      </c>
      <c r="BR4" s="9">
        <v>2.0</v>
      </c>
      <c r="BS4" s="9">
        <v>1.0</v>
      </c>
      <c r="BT4" s="9">
        <v>2.0</v>
      </c>
      <c r="BU4" s="9">
        <v>1.0</v>
      </c>
      <c r="BV4" s="9">
        <v>1.0</v>
      </c>
      <c r="BW4" s="9">
        <v>1.0</v>
      </c>
      <c r="BX4" s="9">
        <v>2.0</v>
      </c>
      <c r="BY4" s="9">
        <v>2.0</v>
      </c>
      <c r="BZ4" s="9">
        <v>1.0</v>
      </c>
      <c r="CA4" s="9">
        <v>1.0</v>
      </c>
      <c r="CB4" s="9">
        <v>1.0</v>
      </c>
      <c r="CC4" s="9">
        <v>2.0</v>
      </c>
      <c r="CD4" s="9">
        <v>1.0</v>
      </c>
      <c r="CE4" s="9">
        <v>1.0</v>
      </c>
      <c r="CF4" s="9">
        <v>0.0</v>
      </c>
      <c r="CG4" s="9">
        <v>1.0</v>
      </c>
      <c r="CH4" s="9">
        <v>2.0</v>
      </c>
      <c r="CI4" s="9">
        <v>1.0</v>
      </c>
      <c r="CJ4" s="9">
        <v>2.0</v>
      </c>
      <c r="CK4" s="9">
        <v>1.0</v>
      </c>
      <c r="CL4" s="9">
        <v>1.0</v>
      </c>
      <c r="CM4" s="9">
        <v>1.0</v>
      </c>
      <c r="CN4" s="9">
        <v>1.0</v>
      </c>
      <c r="CO4" s="9">
        <v>1.0</v>
      </c>
      <c r="CP4" s="13">
        <f t="shared" ref="CP4:CP43" si="9">sum(BR4:CO4)</f>
        <v>30</v>
      </c>
      <c r="CQ4" s="14">
        <f t="shared" ref="CQ4:CQ43" si="10">CP4/$CQ$2</f>
        <v>0.625</v>
      </c>
      <c r="CR4" s="15">
        <f t="shared" ref="CR4:CR43" si="11">SUM(AB4, AS4, BJ4, BP4, CP4)</f>
        <v>104</v>
      </c>
      <c r="CS4" s="12">
        <f t="shared" ref="CS4:CS43" si="12">CR4/$CS$2</f>
        <v>0.6933333333</v>
      </c>
    </row>
    <row r="5" ht="22.5" customHeight="1">
      <c r="A5" s="16">
        <v>46136.685737858796</v>
      </c>
      <c r="B5" s="17" t="s">
        <v>196</v>
      </c>
      <c r="C5" s="18">
        <v>0.0</v>
      </c>
      <c r="D5" s="17" t="s">
        <v>197</v>
      </c>
      <c r="E5" s="19" t="s">
        <v>198</v>
      </c>
      <c r="F5" s="17" t="s">
        <v>191</v>
      </c>
      <c r="G5" s="17" t="s">
        <v>199</v>
      </c>
      <c r="H5" s="17" t="s">
        <v>200</v>
      </c>
      <c r="I5" s="17" t="s">
        <v>194</v>
      </c>
      <c r="J5" s="17" t="s">
        <v>195</v>
      </c>
      <c r="K5" s="17">
        <v>1.0</v>
      </c>
      <c r="L5" s="17">
        <v>2.0</v>
      </c>
      <c r="M5" s="17">
        <v>1.0</v>
      </c>
      <c r="N5" s="17">
        <v>2.0</v>
      </c>
      <c r="O5" s="17">
        <v>2.0</v>
      </c>
      <c r="P5" s="17">
        <v>1.0</v>
      </c>
      <c r="Q5" s="17">
        <v>2.0</v>
      </c>
      <c r="R5" s="17">
        <v>2.0</v>
      </c>
      <c r="S5" s="17">
        <v>1.0</v>
      </c>
      <c r="T5" s="17">
        <v>2.0</v>
      </c>
      <c r="U5" s="17">
        <v>2.0</v>
      </c>
      <c r="V5" s="17">
        <v>0.0</v>
      </c>
      <c r="W5" s="17">
        <v>2.0</v>
      </c>
      <c r="X5" s="17">
        <v>1.0</v>
      </c>
      <c r="Y5" s="17">
        <v>0.0</v>
      </c>
      <c r="Z5" s="17">
        <v>1.0</v>
      </c>
      <c r="AA5" s="17">
        <v>2.0</v>
      </c>
      <c r="AB5" s="20">
        <f t="shared" si="1"/>
        <v>24</v>
      </c>
      <c r="AC5" s="14">
        <f t="shared" si="2"/>
        <v>0.7058823529</v>
      </c>
      <c r="AD5" s="17">
        <v>1.0</v>
      </c>
      <c r="AE5" s="17">
        <v>1.0</v>
      </c>
      <c r="AF5" s="17">
        <v>0.0</v>
      </c>
      <c r="AG5" s="17">
        <v>1.0</v>
      </c>
      <c r="AH5" s="17">
        <v>1.0</v>
      </c>
      <c r="AI5" s="17">
        <v>1.0</v>
      </c>
      <c r="AJ5" s="17">
        <v>2.0</v>
      </c>
      <c r="AK5" s="17">
        <v>1.0</v>
      </c>
      <c r="AL5" s="17">
        <v>1.0</v>
      </c>
      <c r="AM5" s="17">
        <v>0.0</v>
      </c>
      <c r="AN5" s="17">
        <v>1.0</v>
      </c>
      <c r="AO5" s="17">
        <v>2.0</v>
      </c>
      <c r="AP5" s="17">
        <v>2.0</v>
      </c>
      <c r="AQ5" s="17">
        <v>0.0</v>
      </c>
      <c r="AR5" s="17">
        <v>0.0</v>
      </c>
      <c r="AS5" s="20">
        <f t="shared" si="3"/>
        <v>14</v>
      </c>
      <c r="AT5" s="14">
        <f t="shared" si="4"/>
        <v>0.4666666667</v>
      </c>
      <c r="AU5" s="17">
        <v>0.0</v>
      </c>
      <c r="AV5" s="17">
        <v>0.0</v>
      </c>
      <c r="AW5" s="17">
        <v>1.0</v>
      </c>
      <c r="AX5" s="17">
        <v>1.0</v>
      </c>
      <c r="AY5" s="17">
        <v>0.0</v>
      </c>
      <c r="AZ5" s="17">
        <v>0.0</v>
      </c>
      <c r="BA5" s="17">
        <v>0.0</v>
      </c>
      <c r="BB5" s="17">
        <v>0.0</v>
      </c>
      <c r="BC5" s="17">
        <v>0.0</v>
      </c>
      <c r="BD5" s="17">
        <v>0.0</v>
      </c>
      <c r="BE5" s="17">
        <v>0.0</v>
      </c>
      <c r="BF5" s="17">
        <v>0.0</v>
      </c>
      <c r="BG5" s="17">
        <v>1.0</v>
      </c>
      <c r="BH5" s="17">
        <v>1.0</v>
      </c>
      <c r="BI5" s="17">
        <v>1.0</v>
      </c>
      <c r="BJ5" s="9">
        <f t="shared" si="5"/>
        <v>5</v>
      </c>
      <c r="BK5" s="12">
        <f t="shared" si="6"/>
        <v>0.1785714286</v>
      </c>
      <c r="BL5" s="17">
        <v>0.0</v>
      </c>
      <c r="BM5" s="17">
        <v>1.0</v>
      </c>
      <c r="BN5" s="17">
        <v>1.0</v>
      </c>
      <c r="BO5" s="17">
        <v>1.0</v>
      </c>
      <c r="BP5" s="9">
        <f t="shared" si="7"/>
        <v>3</v>
      </c>
      <c r="BQ5" s="12">
        <f t="shared" si="8"/>
        <v>0.375</v>
      </c>
      <c r="BR5" s="17">
        <v>1.0</v>
      </c>
      <c r="BS5" s="17">
        <v>1.0</v>
      </c>
      <c r="BT5" s="17">
        <v>2.0</v>
      </c>
      <c r="BU5" s="17">
        <v>2.0</v>
      </c>
      <c r="BV5" s="17">
        <v>0.0</v>
      </c>
      <c r="BW5" s="17">
        <v>0.0</v>
      </c>
      <c r="BX5" s="17">
        <v>0.0</v>
      </c>
      <c r="BY5" s="17">
        <v>0.0</v>
      </c>
      <c r="BZ5" s="17">
        <v>0.0</v>
      </c>
      <c r="CA5" s="17">
        <v>0.0</v>
      </c>
      <c r="CB5" s="17">
        <v>0.0</v>
      </c>
      <c r="CC5" s="17">
        <v>0.0</v>
      </c>
      <c r="CD5" s="17">
        <v>1.0</v>
      </c>
      <c r="CE5" s="17">
        <v>1.0</v>
      </c>
      <c r="CF5" s="17">
        <v>1.0</v>
      </c>
      <c r="CG5" s="17">
        <v>1.0</v>
      </c>
      <c r="CH5" s="17">
        <v>0.0</v>
      </c>
      <c r="CI5" s="17">
        <v>0.0</v>
      </c>
      <c r="CJ5" s="17">
        <v>0.0</v>
      </c>
      <c r="CK5" s="17">
        <v>2.0</v>
      </c>
      <c r="CL5" s="17">
        <v>2.0</v>
      </c>
      <c r="CM5" s="17">
        <v>2.0</v>
      </c>
      <c r="CN5" s="17">
        <v>0.0</v>
      </c>
      <c r="CO5" s="17">
        <v>0.0</v>
      </c>
      <c r="CP5" s="13">
        <f t="shared" si="9"/>
        <v>16</v>
      </c>
      <c r="CQ5" s="14">
        <f t="shared" si="10"/>
        <v>0.3333333333</v>
      </c>
      <c r="CR5" s="15">
        <f t="shared" si="11"/>
        <v>62</v>
      </c>
      <c r="CS5" s="14">
        <f t="shared" si="12"/>
        <v>0.4133333333</v>
      </c>
    </row>
    <row r="6" ht="22.5" customHeight="1">
      <c r="A6" s="16">
        <v>46137.38203815972</v>
      </c>
      <c r="B6" s="17" t="s">
        <v>201</v>
      </c>
      <c r="C6" s="18">
        <v>0.0</v>
      </c>
      <c r="D6" s="17" t="s">
        <v>202</v>
      </c>
      <c r="E6" s="19" t="s">
        <v>203</v>
      </c>
      <c r="F6" s="17" t="s">
        <v>191</v>
      </c>
      <c r="G6" s="17" t="s">
        <v>204</v>
      </c>
      <c r="H6" s="17" t="s">
        <v>193</v>
      </c>
      <c r="I6" s="17" t="s">
        <v>194</v>
      </c>
      <c r="J6" s="17" t="s">
        <v>195</v>
      </c>
      <c r="K6" s="17">
        <v>2.0</v>
      </c>
      <c r="L6" s="17">
        <v>2.0</v>
      </c>
      <c r="M6" s="17">
        <v>2.0</v>
      </c>
      <c r="N6" s="17">
        <v>2.0</v>
      </c>
      <c r="O6" s="17">
        <v>0.0</v>
      </c>
      <c r="P6" s="17">
        <v>0.0</v>
      </c>
      <c r="Q6" s="17">
        <v>0.0</v>
      </c>
      <c r="R6" s="17">
        <v>2.0</v>
      </c>
      <c r="S6" s="17">
        <v>0.0</v>
      </c>
      <c r="T6" s="17">
        <v>0.0</v>
      </c>
      <c r="U6" s="17">
        <v>2.0</v>
      </c>
      <c r="V6" s="17">
        <v>2.0</v>
      </c>
      <c r="W6" s="17">
        <v>2.0</v>
      </c>
      <c r="X6" s="17">
        <v>2.0</v>
      </c>
      <c r="Y6" s="17">
        <v>0.0</v>
      </c>
      <c r="Z6" s="17">
        <v>0.0</v>
      </c>
      <c r="AA6" s="17">
        <v>0.0</v>
      </c>
      <c r="AB6" s="20">
        <f t="shared" si="1"/>
        <v>18</v>
      </c>
      <c r="AC6" s="14">
        <f t="shared" si="2"/>
        <v>0.5294117647</v>
      </c>
      <c r="AD6" s="17">
        <v>0.0</v>
      </c>
      <c r="AE6" s="17">
        <v>0.0</v>
      </c>
      <c r="AF6" s="17">
        <v>0.0</v>
      </c>
      <c r="AG6" s="17">
        <v>0.0</v>
      </c>
      <c r="AH6" s="17">
        <v>0.0</v>
      </c>
      <c r="AI6" s="17">
        <v>0.0</v>
      </c>
      <c r="AJ6" s="17">
        <v>0.0</v>
      </c>
      <c r="AK6" s="17">
        <v>0.0</v>
      </c>
      <c r="AL6" s="17">
        <v>0.0</v>
      </c>
      <c r="AM6" s="17">
        <v>0.0</v>
      </c>
      <c r="AN6" s="17">
        <v>2.0</v>
      </c>
      <c r="AO6" s="17">
        <v>0.0</v>
      </c>
      <c r="AP6" s="17">
        <v>0.0</v>
      </c>
      <c r="AQ6" s="17">
        <v>0.0</v>
      </c>
      <c r="AR6" s="17">
        <v>0.0</v>
      </c>
      <c r="AS6" s="20">
        <f t="shared" si="3"/>
        <v>2</v>
      </c>
      <c r="AT6" s="14">
        <f t="shared" si="4"/>
        <v>0.06666666667</v>
      </c>
      <c r="AU6" s="17">
        <v>2.0</v>
      </c>
      <c r="AV6" s="17">
        <v>2.0</v>
      </c>
      <c r="AW6" s="17">
        <v>0.0</v>
      </c>
      <c r="AX6" s="17">
        <v>2.0</v>
      </c>
      <c r="AY6" s="17">
        <v>0.0</v>
      </c>
      <c r="AZ6" s="17">
        <v>1.0</v>
      </c>
      <c r="BA6" s="17">
        <v>2.0</v>
      </c>
      <c r="BB6" s="17">
        <v>0.0</v>
      </c>
      <c r="BC6" s="17">
        <v>0.0</v>
      </c>
      <c r="BD6" s="17">
        <v>0.0</v>
      </c>
      <c r="BE6" s="17">
        <v>0.0</v>
      </c>
      <c r="BF6" s="17">
        <v>2.0</v>
      </c>
      <c r="BG6" s="17">
        <v>0.0</v>
      </c>
      <c r="BH6" s="17">
        <v>2.0</v>
      </c>
      <c r="BI6" s="17">
        <v>0.0</v>
      </c>
      <c r="BJ6" s="9">
        <f t="shared" si="5"/>
        <v>13</v>
      </c>
      <c r="BK6" s="12">
        <f t="shared" si="6"/>
        <v>0.4642857143</v>
      </c>
      <c r="BL6" s="17">
        <v>2.0</v>
      </c>
      <c r="BM6" s="17">
        <v>2.0</v>
      </c>
      <c r="BN6" s="17">
        <v>0.0</v>
      </c>
      <c r="BO6" s="17">
        <v>2.0</v>
      </c>
      <c r="BP6" s="9">
        <f t="shared" si="7"/>
        <v>6</v>
      </c>
      <c r="BQ6" s="12">
        <f t="shared" si="8"/>
        <v>0.75</v>
      </c>
      <c r="BR6" s="17">
        <v>0.0</v>
      </c>
      <c r="BS6" s="17">
        <v>0.0</v>
      </c>
      <c r="BT6" s="17">
        <v>0.0</v>
      </c>
      <c r="BU6" s="17">
        <v>0.0</v>
      </c>
      <c r="BV6" s="17">
        <v>2.0</v>
      </c>
      <c r="BW6" s="17">
        <v>2.0</v>
      </c>
      <c r="BX6" s="17">
        <v>0.0</v>
      </c>
      <c r="BY6" s="17">
        <v>2.0</v>
      </c>
      <c r="BZ6" s="17">
        <v>0.0</v>
      </c>
      <c r="CA6" s="17">
        <v>2.0</v>
      </c>
      <c r="CB6" s="17">
        <v>2.0</v>
      </c>
      <c r="CC6" s="17">
        <v>2.0</v>
      </c>
      <c r="CD6" s="17">
        <v>2.0</v>
      </c>
      <c r="CE6" s="17">
        <v>2.0</v>
      </c>
      <c r="CF6" s="17">
        <v>2.0</v>
      </c>
      <c r="CG6" s="17">
        <v>2.0</v>
      </c>
      <c r="CH6" s="17">
        <v>0.0</v>
      </c>
      <c r="CI6" s="17">
        <v>2.0</v>
      </c>
      <c r="CJ6" s="17">
        <v>2.0</v>
      </c>
      <c r="CK6" s="17">
        <v>0.0</v>
      </c>
      <c r="CL6" s="17">
        <v>0.0</v>
      </c>
      <c r="CM6" s="17">
        <v>0.0</v>
      </c>
      <c r="CN6" s="17">
        <v>0.0</v>
      </c>
      <c r="CO6" s="17">
        <v>0.0</v>
      </c>
      <c r="CP6" s="13">
        <f t="shared" si="9"/>
        <v>24</v>
      </c>
      <c r="CQ6" s="14">
        <f t="shared" si="10"/>
        <v>0.5</v>
      </c>
      <c r="CR6" s="15">
        <f t="shared" si="11"/>
        <v>63</v>
      </c>
      <c r="CS6" s="14">
        <f t="shared" si="12"/>
        <v>0.42</v>
      </c>
    </row>
    <row r="7" ht="22.5" customHeight="1">
      <c r="A7" s="16">
        <v>46137.46132497685</v>
      </c>
      <c r="B7" s="17" t="s">
        <v>205</v>
      </c>
      <c r="C7" s="18">
        <v>0.0</v>
      </c>
      <c r="D7" s="17" t="s">
        <v>206</v>
      </c>
      <c r="E7" s="19" t="s">
        <v>207</v>
      </c>
      <c r="F7" s="17" t="s">
        <v>208</v>
      </c>
      <c r="G7" s="17" t="s">
        <v>209</v>
      </c>
      <c r="H7" s="17" t="s">
        <v>210</v>
      </c>
      <c r="I7" s="17" t="s">
        <v>194</v>
      </c>
      <c r="J7" s="17" t="s">
        <v>195</v>
      </c>
      <c r="K7" s="17">
        <v>1.0</v>
      </c>
      <c r="L7" s="17">
        <v>1.0</v>
      </c>
      <c r="M7" s="17">
        <v>1.0</v>
      </c>
      <c r="N7" s="17">
        <v>1.0</v>
      </c>
      <c r="O7" s="17">
        <v>1.0</v>
      </c>
      <c r="P7" s="17">
        <v>1.0</v>
      </c>
      <c r="Q7" s="17">
        <v>1.0</v>
      </c>
      <c r="R7" s="17">
        <v>0.0</v>
      </c>
      <c r="S7" s="17">
        <v>0.0</v>
      </c>
      <c r="T7" s="17">
        <v>0.0</v>
      </c>
      <c r="U7" s="17">
        <v>1.0</v>
      </c>
      <c r="V7" s="17">
        <v>0.0</v>
      </c>
      <c r="W7" s="17">
        <v>1.0</v>
      </c>
      <c r="X7" s="17">
        <v>1.0</v>
      </c>
      <c r="Y7" s="17">
        <v>0.0</v>
      </c>
      <c r="Z7" s="17">
        <v>0.0</v>
      </c>
      <c r="AA7" s="17">
        <v>0.0</v>
      </c>
      <c r="AB7" s="20">
        <f t="shared" si="1"/>
        <v>10</v>
      </c>
      <c r="AC7" s="14">
        <f t="shared" si="2"/>
        <v>0.2941176471</v>
      </c>
      <c r="AD7" s="17">
        <v>0.0</v>
      </c>
      <c r="AE7" s="17">
        <v>0.0</v>
      </c>
      <c r="AF7" s="17">
        <v>0.0</v>
      </c>
      <c r="AG7" s="17">
        <v>0.0</v>
      </c>
      <c r="AH7" s="17">
        <v>0.0</v>
      </c>
      <c r="AI7" s="17">
        <v>0.0</v>
      </c>
      <c r="AJ7" s="17">
        <v>0.0</v>
      </c>
      <c r="AK7" s="17">
        <v>0.0</v>
      </c>
      <c r="AL7" s="17">
        <v>0.0</v>
      </c>
      <c r="AM7" s="17">
        <v>0.0</v>
      </c>
      <c r="AN7" s="17">
        <v>0.0</v>
      </c>
      <c r="AO7" s="17">
        <v>0.0</v>
      </c>
      <c r="AP7" s="17">
        <v>0.0</v>
      </c>
      <c r="AQ7" s="17">
        <v>0.0</v>
      </c>
      <c r="AR7" s="17">
        <v>0.0</v>
      </c>
      <c r="AS7" s="20">
        <f t="shared" si="3"/>
        <v>0</v>
      </c>
      <c r="AT7" s="14">
        <f t="shared" si="4"/>
        <v>0</v>
      </c>
      <c r="AU7" s="17">
        <v>1.0</v>
      </c>
      <c r="AV7" s="17">
        <v>1.0</v>
      </c>
      <c r="AW7" s="17">
        <v>1.0</v>
      </c>
      <c r="AX7" s="17">
        <v>1.0</v>
      </c>
      <c r="AY7" s="17">
        <v>0.0</v>
      </c>
      <c r="AZ7" s="17">
        <v>0.0</v>
      </c>
      <c r="BA7" s="17">
        <v>0.0</v>
      </c>
      <c r="BB7" s="17">
        <v>0.0</v>
      </c>
      <c r="BC7" s="17">
        <v>0.0</v>
      </c>
      <c r="BD7" s="17">
        <v>0.0</v>
      </c>
      <c r="BE7" s="17">
        <v>0.0</v>
      </c>
      <c r="BF7" s="17">
        <v>1.0</v>
      </c>
      <c r="BG7" s="17">
        <v>0.0</v>
      </c>
      <c r="BH7" s="17">
        <v>0.0</v>
      </c>
      <c r="BI7" s="17">
        <v>0.0</v>
      </c>
      <c r="BJ7" s="9">
        <f t="shared" si="5"/>
        <v>5</v>
      </c>
      <c r="BK7" s="12">
        <f t="shared" si="6"/>
        <v>0.1785714286</v>
      </c>
      <c r="BL7" s="17">
        <v>0.0</v>
      </c>
      <c r="BM7" s="17">
        <v>0.0</v>
      </c>
      <c r="BN7" s="17">
        <v>0.0</v>
      </c>
      <c r="BO7" s="17">
        <v>0.0</v>
      </c>
      <c r="BP7" s="9">
        <f t="shared" si="7"/>
        <v>0</v>
      </c>
      <c r="BQ7" s="12">
        <f t="shared" si="8"/>
        <v>0</v>
      </c>
      <c r="BR7" s="17">
        <v>0.0</v>
      </c>
      <c r="BS7" s="17">
        <v>0.0</v>
      </c>
      <c r="BT7" s="17">
        <v>0.0</v>
      </c>
      <c r="BU7" s="17">
        <v>0.0</v>
      </c>
      <c r="BV7" s="17">
        <v>0.0</v>
      </c>
      <c r="BW7" s="17">
        <v>0.0</v>
      </c>
      <c r="BX7" s="17">
        <v>0.0</v>
      </c>
      <c r="BY7" s="17">
        <v>0.0</v>
      </c>
      <c r="BZ7" s="17">
        <v>0.0</v>
      </c>
      <c r="CA7" s="17">
        <v>0.0</v>
      </c>
      <c r="CB7" s="17">
        <v>0.0</v>
      </c>
      <c r="CC7" s="17">
        <v>0.0</v>
      </c>
      <c r="CD7" s="17">
        <v>0.0</v>
      </c>
      <c r="CE7" s="17">
        <v>0.0</v>
      </c>
      <c r="CF7" s="17">
        <v>0.0</v>
      </c>
      <c r="CG7" s="17">
        <v>0.0</v>
      </c>
      <c r="CH7" s="17">
        <v>0.0</v>
      </c>
      <c r="CI7" s="17">
        <v>1.0</v>
      </c>
      <c r="CJ7" s="17">
        <v>1.0</v>
      </c>
      <c r="CK7" s="17">
        <v>0.0</v>
      </c>
      <c r="CL7" s="17">
        <v>0.0</v>
      </c>
      <c r="CM7" s="17">
        <v>0.0</v>
      </c>
      <c r="CN7" s="17">
        <v>0.0</v>
      </c>
      <c r="CO7" s="17">
        <v>0.0</v>
      </c>
      <c r="CP7" s="13">
        <f t="shared" si="9"/>
        <v>2</v>
      </c>
      <c r="CQ7" s="14">
        <f t="shared" si="10"/>
        <v>0.04166666667</v>
      </c>
      <c r="CR7" s="15">
        <f t="shared" si="11"/>
        <v>17</v>
      </c>
      <c r="CS7" s="14">
        <f t="shared" si="12"/>
        <v>0.1133333333</v>
      </c>
    </row>
    <row r="8" ht="22.5" customHeight="1">
      <c r="A8" s="16">
        <v>46137.499704409725</v>
      </c>
      <c r="B8" s="17" t="s">
        <v>211</v>
      </c>
      <c r="C8" s="18">
        <v>0.0</v>
      </c>
      <c r="D8" s="17" t="s">
        <v>212</v>
      </c>
      <c r="E8" s="19" t="s">
        <v>213</v>
      </c>
      <c r="F8" s="17" t="s">
        <v>214</v>
      </c>
      <c r="G8" s="17" t="s">
        <v>215</v>
      </c>
      <c r="H8" s="17" t="s">
        <v>216</v>
      </c>
      <c r="I8" s="17" t="s">
        <v>194</v>
      </c>
      <c r="J8" s="17" t="s">
        <v>217</v>
      </c>
      <c r="K8" s="17">
        <v>1.0</v>
      </c>
      <c r="L8" s="17">
        <v>1.0</v>
      </c>
      <c r="M8" s="17">
        <v>1.0</v>
      </c>
      <c r="N8" s="17">
        <v>2.0</v>
      </c>
      <c r="O8" s="17">
        <v>2.0</v>
      </c>
      <c r="P8" s="17">
        <v>0.0</v>
      </c>
      <c r="Q8" s="17">
        <v>0.0</v>
      </c>
      <c r="R8" s="17">
        <v>2.0</v>
      </c>
      <c r="S8" s="17">
        <v>1.0</v>
      </c>
      <c r="T8" s="17">
        <v>1.0</v>
      </c>
      <c r="U8" s="17">
        <v>1.0</v>
      </c>
      <c r="V8" s="17">
        <v>1.0</v>
      </c>
      <c r="W8" s="17">
        <v>1.0</v>
      </c>
      <c r="X8" s="17">
        <v>0.0</v>
      </c>
      <c r="Y8" s="17">
        <v>0.0</v>
      </c>
      <c r="Z8" s="17">
        <v>0.0</v>
      </c>
      <c r="AA8" s="17">
        <v>0.0</v>
      </c>
      <c r="AB8" s="20">
        <f t="shared" si="1"/>
        <v>14</v>
      </c>
      <c r="AC8" s="14">
        <f t="shared" si="2"/>
        <v>0.4117647059</v>
      </c>
      <c r="AD8" s="17">
        <v>1.0</v>
      </c>
      <c r="AE8" s="17">
        <v>2.0</v>
      </c>
      <c r="AF8" s="17">
        <v>0.0</v>
      </c>
      <c r="AG8" s="17">
        <v>0.0</v>
      </c>
      <c r="AH8" s="17">
        <v>0.0</v>
      </c>
      <c r="AI8" s="17">
        <v>0.0</v>
      </c>
      <c r="AJ8" s="17">
        <v>2.0</v>
      </c>
      <c r="AK8" s="17">
        <v>0.0</v>
      </c>
      <c r="AL8" s="17">
        <v>1.0</v>
      </c>
      <c r="AM8" s="17">
        <v>0.0</v>
      </c>
      <c r="AN8" s="17">
        <v>0.0</v>
      </c>
      <c r="AO8" s="17">
        <v>0.0</v>
      </c>
      <c r="AP8" s="17">
        <v>0.0</v>
      </c>
      <c r="AQ8" s="17">
        <v>0.0</v>
      </c>
      <c r="AR8" s="17">
        <v>0.0</v>
      </c>
      <c r="AS8" s="20">
        <f t="shared" si="3"/>
        <v>6</v>
      </c>
      <c r="AT8" s="14">
        <f t="shared" si="4"/>
        <v>0.2</v>
      </c>
      <c r="AU8" s="17">
        <v>1.0</v>
      </c>
      <c r="AV8" s="17">
        <v>0.0</v>
      </c>
      <c r="AW8" s="17">
        <v>1.0</v>
      </c>
      <c r="AX8" s="17">
        <v>0.0</v>
      </c>
      <c r="AY8" s="17">
        <v>1.0</v>
      </c>
      <c r="AZ8" s="17">
        <v>0.0</v>
      </c>
      <c r="BA8" s="17">
        <v>2.0</v>
      </c>
      <c r="BB8" s="17">
        <v>2.0</v>
      </c>
      <c r="BC8" s="17">
        <v>2.0</v>
      </c>
      <c r="BD8" s="17">
        <v>2.0</v>
      </c>
      <c r="BE8" s="17">
        <v>1.0</v>
      </c>
      <c r="BF8" s="17">
        <v>2.0</v>
      </c>
      <c r="BG8" s="17">
        <v>0.0</v>
      </c>
      <c r="BH8" s="17">
        <v>2.0</v>
      </c>
      <c r="BI8" s="17">
        <v>1.0</v>
      </c>
      <c r="BJ8" s="9">
        <f t="shared" si="5"/>
        <v>17</v>
      </c>
      <c r="BK8" s="12">
        <f t="shared" si="6"/>
        <v>0.6071428571</v>
      </c>
      <c r="BL8" s="17">
        <v>1.0</v>
      </c>
      <c r="BM8" s="17">
        <v>0.0</v>
      </c>
      <c r="BN8" s="17">
        <v>0.0</v>
      </c>
      <c r="BO8" s="17">
        <v>0.0</v>
      </c>
      <c r="BP8" s="9">
        <f t="shared" si="7"/>
        <v>1</v>
      </c>
      <c r="BQ8" s="12">
        <f t="shared" si="8"/>
        <v>0.125</v>
      </c>
      <c r="BR8" s="17">
        <v>0.0</v>
      </c>
      <c r="BS8" s="17">
        <v>0.0</v>
      </c>
      <c r="BT8" s="17">
        <v>1.0</v>
      </c>
      <c r="BU8" s="17">
        <v>0.0</v>
      </c>
      <c r="BV8" s="17">
        <v>0.0</v>
      </c>
      <c r="BW8" s="17">
        <v>1.0</v>
      </c>
      <c r="BX8" s="17">
        <v>0.0</v>
      </c>
      <c r="BY8" s="17">
        <v>0.0</v>
      </c>
      <c r="BZ8" s="17">
        <v>0.0</v>
      </c>
      <c r="CA8" s="17">
        <v>0.0</v>
      </c>
      <c r="CB8" s="17">
        <v>0.0</v>
      </c>
      <c r="CC8" s="17">
        <v>0.0</v>
      </c>
      <c r="CD8" s="17">
        <v>0.0</v>
      </c>
      <c r="CE8" s="17">
        <v>0.0</v>
      </c>
      <c r="CF8" s="17">
        <v>0.0</v>
      </c>
      <c r="CG8" s="17">
        <v>0.0</v>
      </c>
      <c r="CH8" s="17">
        <v>0.0</v>
      </c>
      <c r="CI8" s="17">
        <v>0.0</v>
      </c>
      <c r="CJ8" s="17">
        <v>0.0</v>
      </c>
      <c r="CK8" s="17">
        <v>0.0</v>
      </c>
      <c r="CL8" s="17">
        <v>1.0</v>
      </c>
      <c r="CM8" s="17">
        <v>0.0</v>
      </c>
      <c r="CN8" s="17">
        <v>1.0</v>
      </c>
      <c r="CO8" s="17">
        <v>0.0</v>
      </c>
      <c r="CP8" s="13">
        <f t="shared" si="9"/>
        <v>4</v>
      </c>
      <c r="CQ8" s="14">
        <f t="shared" si="10"/>
        <v>0.08333333333</v>
      </c>
      <c r="CR8" s="15">
        <f t="shared" si="11"/>
        <v>42</v>
      </c>
      <c r="CS8" s="14">
        <f t="shared" si="12"/>
        <v>0.28</v>
      </c>
    </row>
    <row r="9" ht="22.5" customHeight="1">
      <c r="A9" s="16">
        <v>46137.68296704861</v>
      </c>
      <c r="B9" s="17" t="s">
        <v>218</v>
      </c>
      <c r="C9" s="18">
        <v>0.0</v>
      </c>
      <c r="D9" s="17" t="s">
        <v>219</v>
      </c>
      <c r="E9" s="19" t="s">
        <v>220</v>
      </c>
      <c r="F9" s="17" t="s">
        <v>221</v>
      </c>
      <c r="G9" s="17" t="s">
        <v>219</v>
      </c>
      <c r="H9" s="17" t="s">
        <v>222</v>
      </c>
      <c r="I9" s="17" t="s">
        <v>194</v>
      </c>
      <c r="J9" s="17" t="s">
        <v>195</v>
      </c>
      <c r="K9" s="17">
        <v>1.0</v>
      </c>
      <c r="L9" s="17">
        <v>1.0</v>
      </c>
      <c r="M9" s="17">
        <v>0.0</v>
      </c>
      <c r="N9" s="17">
        <v>0.0</v>
      </c>
      <c r="O9" s="17">
        <v>0.0</v>
      </c>
      <c r="P9" s="17">
        <v>0.0</v>
      </c>
      <c r="Q9" s="17">
        <v>1.0</v>
      </c>
      <c r="R9" s="17">
        <v>1.0</v>
      </c>
      <c r="S9" s="17">
        <v>1.0</v>
      </c>
      <c r="T9" s="17">
        <v>1.0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20">
        <f t="shared" si="1"/>
        <v>6</v>
      </c>
      <c r="AC9" s="14">
        <f t="shared" si="2"/>
        <v>0.1764705882</v>
      </c>
      <c r="AD9" s="17">
        <v>0.0</v>
      </c>
      <c r="AE9" s="17">
        <v>0.0</v>
      </c>
      <c r="AF9" s="17">
        <v>0.0</v>
      </c>
      <c r="AG9" s="17">
        <v>0.0</v>
      </c>
      <c r="AH9" s="17">
        <v>0.0</v>
      </c>
      <c r="AI9" s="17">
        <v>0.0</v>
      </c>
      <c r="AJ9" s="17">
        <v>1.0</v>
      </c>
      <c r="AK9" s="17">
        <v>0.0</v>
      </c>
      <c r="AL9" s="17">
        <v>0.0</v>
      </c>
      <c r="AM9" s="17">
        <v>0.0</v>
      </c>
      <c r="AN9" s="17">
        <v>0.0</v>
      </c>
      <c r="AO9" s="17">
        <v>0.0</v>
      </c>
      <c r="AP9" s="17">
        <v>0.0</v>
      </c>
      <c r="AQ9" s="17">
        <v>0.0</v>
      </c>
      <c r="AR9" s="17">
        <v>0.0</v>
      </c>
      <c r="AS9" s="20">
        <f t="shared" si="3"/>
        <v>1</v>
      </c>
      <c r="AT9" s="14">
        <f t="shared" si="4"/>
        <v>0.03333333333</v>
      </c>
      <c r="AU9" s="17">
        <v>1.0</v>
      </c>
      <c r="AV9" s="17">
        <v>1.0</v>
      </c>
      <c r="AW9" s="17">
        <v>0.0</v>
      </c>
      <c r="AX9" s="17">
        <v>0.0</v>
      </c>
      <c r="AY9" s="17">
        <v>0.0</v>
      </c>
      <c r="AZ9" s="17">
        <v>0.0</v>
      </c>
      <c r="BA9" s="17">
        <v>1.0</v>
      </c>
      <c r="BB9" s="17">
        <v>1.0</v>
      </c>
      <c r="BC9" s="17">
        <v>1.0</v>
      </c>
      <c r="BD9" s="17">
        <v>0.0</v>
      </c>
      <c r="BE9" s="17">
        <v>0.0</v>
      </c>
      <c r="BF9" s="17">
        <v>0.0</v>
      </c>
      <c r="BG9" s="17">
        <v>0.0</v>
      </c>
      <c r="BH9" s="17">
        <v>0.0</v>
      </c>
      <c r="BI9" s="17">
        <v>0.0</v>
      </c>
      <c r="BJ9" s="9">
        <f t="shared" si="5"/>
        <v>5</v>
      </c>
      <c r="BK9" s="12">
        <f t="shared" si="6"/>
        <v>0.1785714286</v>
      </c>
      <c r="BL9" s="17">
        <v>0.0</v>
      </c>
      <c r="BM9" s="17">
        <v>0.0</v>
      </c>
      <c r="BN9" s="17">
        <v>0.0</v>
      </c>
      <c r="BO9" s="17">
        <v>0.0</v>
      </c>
      <c r="BP9" s="9">
        <f t="shared" si="7"/>
        <v>0</v>
      </c>
      <c r="BQ9" s="12">
        <f t="shared" si="8"/>
        <v>0</v>
      </c>
      <c r="BR9" s="17">
        <v>0.0</v>
      </c>
      <c r="BS9" s="17">
        <v>0.0</v>
      </c>
      <c r="BT9" s="17">
        <v>0.0</v>
      </c>
      <c r="BU9" s="17">
        <v>0.0</v>
      </c>
      <c r="BV9" s="17">
        <v>0.0</v>
      </c>
      <c r="BW9" s="17">
        <v>0.0</v>
      </c>
      <c r="BX9" s="17">
        <v>0.0</v>
      </c>
      <c r="BY9" s="17">
        <v>0.0</v>
      </c>
      <c r="BZ9" s="17">
        <v>0.0</v>
      </c>
      <c r="CA9" s="17">
        <v>0.0</v>
      </c>
      <c r="CB9" s="17">
        <v>0.0</v>
      </c>
      <c r="CC9" s="17">
        <v>0.0</v>
      </c>
      <c r="CD9" s="17">
        <v>0.0</v>
      </c>
      <c r="CE9" s="17">
        <v>0.0</v>
      </c>
      <c r="CF9" s="17">
        <v>0.0</v>
      </c>
      <c r="CG9" s="17">
        <v>0.0</v>
      </c>
      <c r="CH9" s="17">
        <v>0.0</v>
      </c>
      <c r="CI9" s="17">
        <v>0.0</v>
      </c>
      <c r="CJ9" s="17">
        <v>0.0</v>
      </c>
      <c r="CK9" s="17">
        <v>0.0</v>
      </c>
      <c r="CL9" s="17">
        <v>0.0</v>
      </c>
      <c r="CM9" s="17">
        <v>0.0</v>
      </c>
      <c r="CN9" s="17">
        <v>0.0</v>
      </c>
      <c r="CO9" s="17">
        <v>0.0</v>
      </c>
      <c r="CP9" s="21">
        <f t="shared" si="9"/>
        <v>0</v>
      </c>
      <c r="CQ9" s="14">
        <f t="shared" si="10"/>
        <v>0</v>
      </c>
      <c r="CR9" s="15">
        <f t="shared" si="11"/>
        <v>12</v>
      </c>
      <c r="CS9" s="14">
        <f t="shared" si="12"/>
        <v>0.08</v>
      </c>
    </row>
    <row r="10" ht="22.5" customHeight="1">
      <c r="A10" s="16">
        <v>46137.76304755787</v>
      </c>
      <c r="B10" s="17" t="s">
        <v>223</v>
      </c>
      <c r="C10" s="18">
        <v>0.0</v>
      </c>
      <c r="D10" s="17" t="s">
        <v>224</v>
      </c>
      <c r="E10" s="19" t="s">
        <v>225</v>
      </c>
      <c r="F10" s="17" t="s">
        <v>191</v>
      </c>
      <c r="G10" s="17" t="s">
        <v>224</v>
      </c>
      <c r="H10" s="17" t="s">
        <v>193</v>
      </c>
      <c r="I10" s="17" t="s">
        <v>226</v>
      </c>
      <c r="J10" s="17" t="s">
        <v>227</v>
      </c>
      <c r="K10" s="17">
        <v>0.0</v>
      </c>
      <c r="L10" s="17">
        <v>0.0</v>
      </c>
      <c r="M10" s="17">
        <v>0.0</v>
      </c>
      <c r="N10" s="17">
        <v>1.0</v>
      </c>
      <c r="O10" s="17">
        <v>0.0</v>
      </c>
      <c r="P10" s="17">
        <v>0.0</v>
      </c>
      <c r="Q10" s="17">
        <v>1.0</v>
      </c>
      <c r="R10" s="17">
        <v>0.0</v>
      </c>
      <c r="S10" s="17">
        <v>0.0</v>
      </c>
      <c r="T10" s="17">
        <v>1.0</v>
      </c>
      <c r="U10" s="17">
        <v>0.0</v>
      </c>
      <c r="V10" s="17">
        <v>0.0</v>
      </c>
      <c r="W10" s="17">
        <v>0.0</v>
      </c>
      <c r="X10" s="17">
        <v>1.0</v>
      </c>
      <c r="Y10" s="17">
        <v>1.0</v>
      </c>
      <c r="Z10" s="17">
        <v>1.0</v>
      </c>
      <c r="AA10" s="17">
        <v>0.0</v>
      </c>
      <c r="AB10" s="20">
        <f t="shared" si="1"/>
        <v>6</v>
      </c>
      <c r="AC10" s="14">
        <f t="shared" si="2"/>
        <v>0.1764705882</v>
      </c>
      <c r="AD10" s="17">
        <v>0.0</v>
      </c>
      <c r="AE10" s="17">
        <v>0.0</v>
      </c>
      <c r="AF10" s="17">
        <v>0.0</v>
      </c>
      <c r="AG10" s="17">
        <v>0.0</v>
      </c>
      <c r="AH10" s="17">
        <v>0.0</v>
      </c>
      <c r="AI10" s="17">
        <v>0.0</v>
      </c>
      <c r="AJ10" s="17">
        <v>0.0</v>
      </c>
      <c r="AK10" s="17">
        <v>0.0</v>
      </c>
      <c r="AL10" s="17">
        <v>0.0</v>
      </c>
      <c r="AM10" s="17">
        <v>1.0</v>
      </c>
      <c r="AN10" s="17">
        <v>1.0</v>
      </c>
      <c r="AO10" s="17">
        <v>1.0</v>
      </c>
      <c r="AP10" s="17">
        <v>1.0</v>
      </c>
      <c r="AQ10" s="17">
        <v>1.0</v>
      </c>
      <c r="AR10" s="17">
        <v>0.0</v>
      </c>
      <c r="AS10" s="20">
        <f t="shared" si="3"/>
        <v>5</v>
      </c>
      <c r="AT10" s="14">
        <f t="shared" si="4"/>
        <v>0.1666666667</v>
      </c>
      <c r="AU10" s="17">
        <v>1.0</v>
      </c>
      <c r="AV10" s="17">
        <v>0.0</v>
      </c>
      <c r="AW10" s="17">
        <v>0.0</v>
      </c>
      <c r="AX10" s="17">
        <v>0.0</v>
      </c>
      <c r="AY10" s="17">
        <v>0.0</v>
      </c>
      <c r="AZ10" s="17">
        <v>0.0</v>
      </c>
      <c r="BA10" s="17">
        <v>0.0</v>
      </c>
      <c r="BB10" s="17">
        <v>0.0</v>
      </c>
      <c r="BC10" s="17">
        <v>0.0</v>
      </c>
      <c r="BD10" s="17">
        <v>0.0</v>
      </c>
      <c r="BE10" s="17">
        <v>0.0</v>
      </c>
      <c r="BF10" s="17">
        <v>1.0</v>
      </c>
      <c r="BG10" s="17">
        <v>0.0</v>
      </c>
      <c r="BH10" s="17">
        <v>2.0</v>
      </c>
      <c r="BI10" s="17">
        <v>0.0</v>
      </c>
      <c r="BJ10" s="9">
        <f t="shared" si="5"/>
        <v>4</v>
      </c>
      <c r="BK10" s="12">
        <f t="shared" si="6"/>
        <v>0.1428571429</v>
      </c>
      <c r="BL10" s="17">
        <v>0.0</v>
      </c>
      <c r="BM10" s="17">
        <v>0.0</v>
      </c>
      <c r="BN10" s="17">
        <v>1.0</v>
      </c>
      <c r="BO10" s="17">
        <v>2.0</v>
      </c>
      <c r="BP10" s="9">
        <f t="shared" si="7"/>
        <v>3</v>
      </c>
      <c r="BQ10" s="12">
        <f t="shared" si="8"/>
        <v>0.375</v>
      </c>
      <c r="BR10" s="17">
        <v>0.0</v>
      </c>
      <c r="BS10" s="17">
        <v>0.0</v>
      </c>
      <c r="BT10" s="17">
        <v>1.0</v>
      </c>
      <c r="BU10" s="17">
        <v>1.0</v>
      </c>
      <c r="BV10" s="17">
        <v>1.0</v>
      </c>
      <c r="BW10" s="17">
        <v>1.0</v>
      </c>
      <c r="BX10" s="17">
        <v>0.0</v>
      </c>
      <c r="BY10" s="17">
        <v>1.0</v>
      </c>
      <c r="BZ10" s="17">
        <v>0.0</v>
      </c>
      <c r="CA10" s="17">
        <v>1.0</v>
      </c>
      <c r="CB10" s="17">
        <v>1.0</v>
      </c>
      <c r="CC10" s="17">
        <v>1.0</v>
      </c>
      <c r="CD10" s="17">
        <v>0.0</v>
      </c>
      <c r="CE10" s="17">
        <v>0.0</v>
      </c>
      <c r="CF10" s="17">
        <v>0.0</v>
      </c>
      <c r="CG10" s="17">
        <v>1.0</v>
      </c>
      <c r="CH10" s="17">
        <v>1.0</v>
      </c>
      <c r="CI10" s="17">
        <v>1.0</v>
      </c>
      <c r="CJ10" s="17">
        <v>1.0</v>
      </c>
      <c r="CK10" s="17">
        <v>1.0</v>
      </c>
      <c r="CL10" s="17">
        <v>1.0</v>
      </c>
      <c r="CM10" s="17">
        <v>0.0</v>
      </c>
      <c r="CN10" s="17">
        <v>1.0</v>
      </c>
      <c r="CO10" s="17">
        <v>1.0</v>
      </c>
      <c r="CP10" s="21">
        <f t="shared" si="9"/>
        <v>16</v>
      </c>
      <c r="CQ10" s="14">
        <f t="shared" si="10"/>
        <v>0.3333333333</v>
      </c>
      <c r="CR10" s="15">
        <f t="shared" si="11"/>
        <v>34</v>
      </c>
      <c r="CS10" s="14">
        <f t="shared" si="12"/>
        <v>0.2266666667</v>
      </c>
    </row>
    <row r="11" ht="22.5" customHeight="1">
      <c r="A11" s="16">
        <v>46139.38164951389</v>
      </c>
      <c r="B11" s="17" t="s">
        <v>228</v>
      </c>
      <c r="C11" s="18">
        <v>0.0</v>
      </c>
      <c r="D11" s="17" t="s">
        <v>229</v>
      </c>
      <c r="E11" s="19" t="s">
        <v>230</v>
      </c>
      <c r="F11" s="17" t="s">
        <v>231</v>
      </c>
      <c r="G11" s="17" t="s">
        <v>232</v>
      </c>
      <c r="H11" s="17" t="s">
        <v>233</v>
      </c>
      <c r="I11" s="17" t="s">
        <v>226</v>
      </c>
      <c r="J11" s="17" t="s">
        <v>227</v>
      </c>
      <c r="K11" s="17">
        <v>1.0</v>
      </c>
      <c r="L11" s="17">
        <v>1.0</v>
      </c>
      <c r="M11" s="17">
        <v>1.0</v>
      </c>
      <c r="N11" s="17">
        <v>2.0</v>
      </c>
      <c r="O11" s="17">
        <v>1.0</v>
      </c>
      <c r="P11" s="17">
        <v>0.0</v>
      </c>
      <c r="Q11" s="17">
        <v>1.0</v>
      </c>
      <c r="R11" s="17">
        <v>1.0</v>
      </c>
      <c r="S11" s="17">
        <v>1.0</v>
      </c>
      <c r="T11" s="17">
        <v>1.0</v>
      </c>
      <c r="U11" s="17">
        <v>0.0</v>
      </c>
      <c r="V11" s="17">
        <v>0.0</v>
      </c>
      <c r="W11" s="17">
        <v>0.0</v>
      </c>
      <c r="X11" s="17">
        <v>0.0</v>
      </c>
      <c r="Y11" s="17">
        <v>0.0</v>
      </c>
      <c r="Z11" s="17">
        <v>0.0</v>
      </c>
      <c r="AA11" s="17">
        <v>0.0</v>
      </c>
      <c r="AB11" s="20">
        <f t="shared" si="1"/>
        <v>10</v>
      </c>
      <c r="AC11" s="14">
        <f t="shared" si="2"/>
        <v>0.2941176471</v>
      </c>
      <c r="AD11" s="17">
        <v>0.0</v>
      </c>
      <c r="AE11" s="17">
        <v>1.0</v>
      </c>
      <c r="AF11" s="17">
        <v>0.0</v>
      </c>
      <c r="AG11" s="17">
        <v>0.0</v>
      </c>
      <c r="AH11" s="17">
        <v>0.0</v>
      </c>
      <c r="AI11" s="17">
        <v>1.0</v>
      </c>
      <c r="AJ11" s="17">
        <v>0.0</v>
      </c>
      <c r="AK11" s="17">
        <v>0.0</v>
      </c>
      <c r="AL11" s="17">
        <v>0.0</v>
      </c>
      <c r="AM11" s="17">
        <v>0.0</v>
      </c>
      <c r="AN11" s="17">
        <v>0.0</v>
      </c>
      <c r="AO11" s="17">
        <v>0.0</v>
      </c>
      <c r="AP11" s="17">
        <v>0.0</v>
      </c>
      <c r="AQ11" s="17">
        <v>0.0</v>
      </c>
      <c r="AR11" s="17">
        <v>0.0</v>
      </c>
      <c r="AS11" s="20">
        <f t="shared" si="3"/>
        <v>2</v>
      </c>
      <c r="AT11" s="14">
        <f t="shared" si="4"/>
        <v>0.06666666667</v>
      </c>
      <c r="AU11" s="17">
        <v>1.0</v>
      </c>
      <c r="AV11" s="17">
        <v>0.0</v>
      </c>
      <c r="AW11" s="17">
        <v>1.0</v>
      </c>
      <c r="AX11" s="17">
        <v>0.0</v>
      </c>
      <c r="AY11" s="17">
        <v>0.0</v>
      </c>
      <c r="AZ11" s="17">
        <v>0.0</v>
      </c>
      <c r="BA11" s="17">
        <v>0.0</v>
      </c>
      <c r="BB11" s="17">
        <v>0.0</v>
      </c>
      <c r="BC11" s="17">
        <v>0.0</v>
      </c>
      <c r="BD11" s="17">
        <v>0.0</v>
      </c>
      <c r="BE11" s="17">
        <v>0.0</v>
      </c>
      <c r="BF11" s="17">
        <v>0.0</v>
      </c>
      <c r="BG11" s="17">
        <v>0.0</v>
      </c>
      <c r="BH11" s="17">
        <v>0.0</v>
      </c>
      <c r="BI11" s="17">
        <v>0.0</v>
      </c>
      <c r="BJ11" s="9">
        <f t="shared" si="5"/>
        <v>2</v>
      </c>
      <c r="BK11" s="12">
        <f t="shared" si="6"/>
        <v>0.07142857143</v>
      </c>
      <c r="BL11" s="17">
        <v>0.0</v>
      </c>
      <c r="BM11" s="17">
        <v>0.0</v>
      </c>
      <c r="BN11" s="17">
        <v>0.0</v>
      </c>
      <c r="BO11" s="17">
        <v>0.0</v>
      </c>
      <c r="BP11" s="9">
        <f t="shared" si="7"/>
        <v>0</v>
      </c>
      <c r="BQ11" s="12">
        <f t="shared" si="8"/>
        <v>0</v>
      </c>
      <c r="BR11" s="17">
        <v>0.0</v>
      </c>
      <c r="BS11" s="17">
        <v>0.0</v>
      </c>
      <c r="BT11" s="17">
        <v>0.0</v>
      </c>
      <c r="BU11" s="17">
        <v>0.0</v>
      </c>
      <c r="BV11" s="17">
        <v>0.0</v>
      </c>
      <c r="BW11" s="17">
        <v>0.0</v>
      </c>
      <c r="BX11" s="17">
        <v>0.0</v>
      </c>
      <c r="BY11" s="17">
        <v>0.0</v>
      </c>
      <c r="BZ11" s="17">
        <v>0.0</v>
      </c>
      <c r="CA11" s="17">
        <v>0.0</v>
      </c>
      <c r="CB11" s="17">
        <v>0.0</v>
      </c>
      <c r="CC11" s="17">
        <v>0.0</v>
      </c>
      <c r="CD11" s="17">
        <v>0.0</v>
      </c>
      <c r="CE11" s="17">
        <v>0.0</v>
      </c>
      <c r="CF11" s="17">
        <v>0.0</v>
      </c>
      <c r="CG11" s="17">
        <v>0.0</v>
      </c>
      <c r="CH11" s="17">
        <v>0.0</v>
      </c>
      <c r="CI11" s="17">
        <v>0.0</v>
      </c>
      <c r="CJ11" s="17">
        <v>0.0</v>
      </c>
      <c r="CK11" s="17">
        <v>0.0</v>
      </c>
      <c r="CL11" s="17">
        <v>0.0</v>
      </c>
      <c r="CM11" s="17">
        <v>0.0</v>
      </c>
      <c r="CN11" s="17">
        <v>0.0</v>
      </c>
      <c r="CO11" s="17">
        <v>0.0</v>
      </c>
      <c r="CP11" s="21">
        <f t="shared" si="9"/>
        <v>0</v>
      </c>
      <c r="CQ11" s="14">
        <f t="shared" si="10"/>
        <v>0</v>
      </c>
      <c r="CR11" s="15">
        <f t="shared" si="11"/>
        <v>14</v>
      </c>
      <c r="CS11" s="14">
        <f t="shared" si="12"/>
        <v>0.09333333333</v>
      </c>
    </row>
    <row r="12" ht="22.5" customHeight="1">
      <c r="A12" s="16">
        <v>46139.406356631946</v>
      </c>
      <c r="B12" s="17" t="s">
        <v>234</v>
      </c>
      <c r="C12" s="18">
        <v>0.0</v>
      </c>
      <c r="D12" s="17" t="s">
        <v>235</v>
      </c>
      <c r="E12" s="19" t="s">
        <v>236</v>
      </c>
      <c r="F12" s="17" t="s">
        <v>237</v>
      </c>
      <c r="G12" s="17" t="s">
        <v>238</v>
      </c>
      <c r="H12" s="17" t="s">
        <v>239</v>
      </c>
      <c r="I12" s="17" t="s">
        <v>194</v>
      </c>
      <c r="J12" s="17" t="s">
        <v>195</v>
      </c>
      <c r="K12" s="17">
        <v>0.0</v>
      </c>
      <c r="L12" s="17">
        <v>0.0</v>
      </c>
      <c r="M12" s="17">
        <v>0.0</v>
      </c>
      <c r="N12" s="17">
        <v>0.0</v>
      </c>
      <c r="O12" s="17">
        <v>0.0</v>
      </c>
      <c r="P12" s="17">
        <v>0.0</v>
      </c>
      <c r="Q12" s="17">
        <v>1.0</v>
      </c>
      <c r="R12" s="17">
        <v>0.0</v>
      </c>
      <c r="S12" s="17">
        <v>0.0</v>
      </c>
      <c r="T12" s="17">
        <v>0.0</v>
      </c>
      <c r="U12" s="17">
        <v>0.0</v>
      </c>
      <c r="V12" s="17">
        <v>0.0</v>
      </c>
      <c r="W12" s="17">
        <v>0.0</v>
      </c>
      <c r="X12" s="17">
        <v>0.0</v>
      </c>
      <c r="Y12" s="17">
        <v>0.0</v>
      </c>
      <c r="Z12" s="17">
        <v>0.0</v>
      </c>
      <c r="AA12" s="17">
        <v>0.0</v>
      </c>
      <c r="AB12" s="20">
        <f t="shared" si="1"/>
        <v>1</v>
      </c>
      <c r="AC12" s="14">
        <f t="shared" si="2"/>
        <v>0.02941176471</v>
      </c>
      <c r="AD12" s="17">
        <v>0.0</v>
      </c>
      <c r="AE12" s="17">
        <v>0.0</v>
      </c>
      <c r="AF12" s="17">
        <v>0.0</v>
      </c>
      <c r="AG12" s="17">
        <v>0.0</v>
      </c>
      <c r="AH12" s="17">
        <v>0.0</v>
      </c>
      <c r="AI12" s="17">
        <v>0.0</v>
      </c>
      <c r="AJ12" s="17">
        <v>1.0</v>
      </c>
      <c r="AK12" s="17">
        <v>0.0</v>
      </c>
      <c r="AL12" s="17">
        <v>0.0</v>
      </c>
      <c r="AM12" s="17">
        <v>0.0</v>
      </c>
      <c r="AN12" s="17">
        <v>0.0</v>
      </c>
      <c r="AO12" s="17">
        <v>0.0</v>
      </c>
      <c r="AP12" s="17">
        <v>0.0</v>
      </c>
      <c r="AQ12" s="17">
        <v>1.0</v>
      </c>
      <c r="AR12" s="17">
        <v>0.0</v>
      </c>
      <c r="AS12" s="20">
        <f t="shared" si="3"/>
        <v>2</v>
      </c>
      <c r="AT12" s="14">
        <f t="shared" si="4"/>
        <v>0.06666666667</v>
      </c>
      <c r="AU12" s="17">
        <v>0.0</v>
      </c>
      <c r="AV12" s="17">
        <v>0.0</v>
      </c>
      <c r="AW12" s="17">
        <v>1.0</v>
      </c>
      <c r="AX12" s="17">
        <v>0.0</v>
      </c>
      <c r="AY12" s="17">
        <v>0.0</v>
      </c>
      <c r="AZ12" s="17">
        <v>0.0</v>
      </c>
      <c r="BA12" s="17">
        <v>0.0</v>
      </c>
      <c r="BB12" s="17">
        <v>0.0</v>
      </c>
      <c r="BC12" s="17">
        <v>0.0</v>
      </c>
      <c r="BD12" s="17">
        <v>0.0</v>
      </c>
      <c r="BE12" s="17">
        <v>0.0</v>
      </c>
      <c r="BF12" s="17">
        <v>0.0</v>
      </c>
      <c r="BG12" s="17">
        <v>0.0</v>
      </c>
      <c r="BH12" s="17">
        <v>1.0</v>
      </c>
      <c r="BI12" s="17">
        <v>0.0</v>
      </c>
      <c r="BJ12" s="9">
        <f t="shared" si="5"/>
        <v>2</v>
      </c>
      <c r="BK12" s="12">
        <f t="shared" si="6"/>
        <v>0.07142857143</v>
      </c>
      <c r="BL12" s="17">
        <v>0.0</v>
      </c>
      <c r="BM12" s="17">
        <v>0.0</v>
      </c>
      <c r="BN12" s="17">
        <v>0.0</v>
      </c>
      <c r="BO12" s="17">
        <v>0.0</v>
      </c>
      <c r="BP12" s="9">
        <f t="shared" si="7"/>
        <v>0</v>
      </c>
      <c r="BQ12" s="12">
        <f t="shared" si="8"/>
        <v>0</v>
      </c>
      <c r="BR12" s="17">
        <v>0.0</v>
      </c>
      <c r="BS12" s="17">
        <v>0.0</v>
      </c>
      <c r="BT12" s="17">
        <v>0.0</v>
      </c>
      <c r="BU12" s="17">
        <v>0.0</v>
      </c>
      <c r="BV12" s="17">
        <v>0.0</v>
      </c>
      <c r="BW12" s="17">
        <v>0.0</v>
      </c>
      <c r="BX12" s="17">
        <v>0.0</v>
      </c>
      <c r="BY12" s="17">
        <v>1.0</v>
      </c>
      <c r="BZ12" s="17">
        <v>1.0</v>
      </c>
      <c r="CA12" s="17">
        <v>0.0</v>
      </c>
      <c r="CB12" s="17">
        <v>0.0</v>
      </c>
      <c r="CC12" s="17">
        <v>1.0</v>
      </c>
      <c r="CD12" s="17">
        <v>0.0</v>
      </c>
      <c r="CE12" s="17">
        <v>0.0</v>
      </c>
      <c r="CF12" s="17">
        <v>0.0</v>
      </c>
      <c r="CG12" s="17">
        <v>1.0</v>
      </c>
      <c r="CH12" s="17">
        <v>1.0</v>
      </c>
      <c r="CI12" s="17">
        <v>1.0</v>
      </c>
      <c r="CJ12" s="17">
        <v>0.0</v>
      </c>
      <c r="CK12" s="17">
        <v>0.0</v>
      </c>
      <c r="CL12" s="17">
        <v>0.0</v>
      </c>
      <c r="CM12" s="17">
        <v>0.0</v>
      </c>
      <c r="CN12" s="17">
        <v>0.0</v>
      </c>
      <c r="CO12" s="17">
        <v>0.0</v>
      </c>
      <c r="CP12" s="21">
        <f t="shared" si="9"/>
        <v>6</v>
      </c>
      <c r="CQ12" s="14">
        <f t="shared" si="10"/>
        <v>0.125</v>
      </c>
      <c r="CR12" s="15">
        <f t="shared" si="11"/>
        <v>11</v>
      </c>
      <c r="CS12" s="14">
        <f t="shared" si="12"/>
        <v>0.07333333333</v>
      </c>
    </row>
    <row r="13" ht="22.5" customHeight="1">
      <c r="A13" s="16">
        <v>46139.50093711806</v>
      </c>
      <c r="B13" s="17" t="s">
        <v>240</v>
      </c>
      <c r="C13" s="18">
        <v>0.0</v>
      </c>
      <c r="D13" s="17" t="s">
        <v>241</v>
      </c>
      <c r="E13" s="19" t="s">
        <v>242</v>
      </c>
      <c r="F13" s="17" t="s">
        <v>243</v>
      </c>
      <c r="G13" s="17" t="s">
        <v>244</v>
      </c>
      <c r="H13" s="17" t="s">
        <v>193</v>
      </c>
      <c r="I13" s="17" t="s">
        <v>226</v>
      </c>
      <c r="J13" s="17" t="s">
        <v>227</v>
      </c>
      <c r="K13" s="17">
        <v>2.0</v>
      </c>
      <c r="L13" s="17">
        <v>2.0</v>
      </c>
      <c r="M13" s="17">
        <v>2.0</v>
      </c>
      <c r="N13" s="17">
        <v>2.0</v>
      </c>
      <c r="O13" s="17">
        <v>2.0</v>
      </c>
      <c r="P13" s="17">
        <v>2.0</v>
      </c>
      <c r="Q13" s="17">
        <v>2.0</v>
      </c>
      <c r="R13" s="17">
        <v>2.0</v>
      </c>
      <c r="S13" s="17">
        <v>2.0</v>
      </c>
      <c r="T13" s="17">
        <v>2.0</v>
      </c>
      <c r="U13" s="17">
        <v>2.0</v>
      </c>
      <c r="V13" s="17">
        <v>2.0</v>
      </c>
      <c r="W13" s="17">
        <v>2.0</v>
      </c>
      <c r="X13" s="17">
        <v>2.0</v>
      </c>
      <c r="Y13" s="17">
        <v>2.0</v>
      </c>
      <c r="Z13" s="17">
        <v>2.0</v>
      </c>
      <c r="AA13" s="17">
        <v>2.0</v>
      </c>
      <c r="AB13" s="20">
        <f t="shared" si="1"/>
        <v>34</v>
      </c>
      <c r="AC13" s="14">
        <f t="shared" si="2"/>
        <v>1</v>
      </c>
      <c r="AD13" s="17">
        <v>2.0</v>
      </c>
      <c r="AE13" s="17">
        <v>2.0</v>
      </c>
      <c r="AF13" s="17">
        <v>1.0</v>
      </c>
      <c r="AG13" s="17">
        <v>1.0</v>
      </c>
      <c r="AH13" s="17">
        <v>1.0</v>
      </c>
      <c r="AI13" s="17">
        <v>1.0</v>
      </c>
      <c r="AJ13" s="17">
        <v>1.0</v>
      </c>
      <c r="AK13" s="17">
        <v>1.0</v>
      </c>
      <c r="AL13" s="17">
        <v>1.0</v>
      </c>
      <c r="AM13" s="17">
        <v>1.0</v>
      </c>
      <c r="AN13" s="17">
        <v>2.0</v>
      </c>
      <c r="AO13" s="17">
        <v>2.0</v>
      </c>
      <c r="AP13" s="17">
        <v>2.0</v>
      </c>
      <c r="AQ13" s="17">
        <v>2.0</v>
      </c>
      <c r="AR13" s="17">
        <v>2.0</v>
      </c>
      <c r="AS13" s="20">
        <f t="shared" si="3"/>
        <v>22</v>
      </c>
      <c r="AT13" s="14">
        <f t="shared" si="4"/>
        <v>0.7333333333</v>
      </c>
      <c r="AU13" s="17">
        <v>2.0</v>
      </c>
      <c r="AV13" s="17">
        <v>2.0</v>
      </c>
      <c r="AW13" s="17">
        <v>1.0</v>
      </c>
      <c r="AX13" s="17">
        <v>1.0</v>
      </c>
      <c r="AY13" s="17">
        <v>1.0</v>
      </c>
      <c r="AZ13" s="17">
        <v>1.0</v>
      </c>
      <c r="BA13" s="17">
        <v>1.0</v>
      </c>
      <c r="BB13" s="17">
        <v>1.0</v>
      </c>
      <c r="BC13" s="17">
        <v>1.0</v>
      </c>
      <c r="BD13" s="17">
        <v>1.0</v>
      </c>
      <c r="BE13" s="17">
        <v>1.0</v>
      </c>
      <c r="BF13" s="17">
        <v>1.0</v>
      </c>
      <c r="BG13" s="17">
        <v>1.0</v>
      </c>
      <c r="BH13" s="17">
        <v>1.0</v>
      </c>
      <c r="BI13" s="17">
        <v>1.0</v>
      </c>
      <c r="BJ13" s="9">
        <f t="shared" si="5"/>
        <v>17</v>
      </c>
      <c r="BK13" s="12">
        <f t="shared" si="6"/>
        <v>0.6071428571</v>
      </c>
      <c r="BL13" s="17">
        <v>1.0</v>
      </c>
      <c r="BM13" s="17">
        <v>1.0</v>
      </c>
      <c r="BN13" s="17">
        <v>1.0</v>
      </c>
      <c r="BO13" s="17">
        <v>1.0</v>
      </c>
      <c r="BP13" s="9">
        <f t="shared" si="7"/>
        <v>4</v>
      </c>
      <c r="BQ13" s="12">
        <f t="shared" si="8"/>
        <v>0.5</v>
      </c>
      <c r="BR13" s="17">
        <v>1.0</v>
      </c>
      <c r="BS13" s="17">
        <v>1.0</v>
      </c>
      <c r="BT13" s="17">
        <v>1.0</v>
      </c>
      <c r="BU13" s="17">
        <v>1.0</v>
      </c>
      <c r="BV13" s="17">
        <v>1.0</v>
      </c>
      <c r="BW13" s="17">
        <v>1.0</v>
      </c>
      <c r="BX13" s="17">
        <v>1.0</v>
      </c>
      <c r="BY13" s="17">
        <v>1.0</v>
      </c>
      <c r="BZ13" s="17">
        <v>1.0</v>
      </c>
      <c r="CA13" s="17">
        <v>2.0</v>
      </c>
      <c r="CB13" s="17">
        <v>1.0</v>
      </c>
      <c r="CC13" s="17">
        <v>1.0</v>
      </c>
      <c r="CD13" s="17">
        <v>1.0</v>
      </c>
      <c r="CE13" s="17">
        <v>1.0</v>
      </c>
      <c r="CF13" s="17">
        <v>1.0</v>
      </c>
      <c r="CG13" s="17">
        <v>1.0</v>
      </c>
      <c r="CH13" s="17">
        <v>1.0</v>
      </c>
      <c r="CI13" s="17">
        <v>1.0</v>
      </c>
      <c r="CJ13" s="17">
        <v>1.0</v>
      </c>
      <c r="CK13" s="17">
        <v>1.0</v>
      </c>
      <c r="CL13" s="17">
        <v>1.0</v>
      </c>
      <c r="CM13" s="17">
        <v>1.0</v>
      </c>
      <c r="CN13" s="17">
        <v>1.0</v>
      </c>
      <c r="CO13" s="17">
        <v>1.0</v>
      </c>
      <c r="CP13" s="21">
        <f t="shared" si="9"/>
        <v>25</v>
      </c>
      <c r="CQ13" s="14">
        <f t="shared" si="10"/>
        <v>0.5208333333</v>
      </c>
      <c r="CR13" s="15">
        <f t="shared" si="11"/>
        <v>102</v>
      </c>
      <c r="CS13" s="14">
        <f t="shared" si="12"/>
        <v>0.68</v>
      </c>
    </row>
    <row r="14" ht="22.5" customHeight="1">
      <c r="A14" s="16">
        <v>46139.51381186343</v>
      </c>
      <c r="B14" s="17" t="s">
        <v>245</v>
      </c>
      <c r="C14" s="18">
        <v>0.0</v>
      </c>
      <c r="D14" s="17" t="s">
        <v>246</v>
      </c>
      <c r="E14" s="19" t="s">
        <v>247</v>
      </c>
      <c r="F14" s="17" t="s">
        <v>248</v>
      </c>
      <c r="G14" s="17" t="s">
        <v>249</v>
      </c>
      <c r="H14" s="17" t="s">
        <v>250</v>
      </c>
      <c r="I14" s="17" t="s">
        <v>251</v>
      </c>
      <c r="J14" s="17" t="s">
        <v>252</v>
      </c>
      <c r="K14" s="17">
        <v>1.0</v>
      </c>
      <c r="L14" s="17">
        <v>1.0</v>
      </c>
      <c r="M14" s="17">
        <v>2.0</v>
      </c>
      <c r="N14" s="17">
        <v>2.0</v>
      </c>
      <c r="O14" s="17">
        <v>2.0</v>
      </c>
      <c r="P14" s="17">
        <v>1.0</v>
      </c>
      <c r="Q14" s="17">
        <v>1.0</v>
      </c>
      <c r="R14" s="17">
        <v>1.0</v>
      </c>
      <c r="S14" s="17">
        <v>1.0</v>
      </c>
      <c r="T14" s="17">
        <v>1.0</v>
      </c>
      <c r="U14" s="17">
        <v>1.0</v>
      </c>
      <c r="V14" s="17">
        <v>1.0</v>
      </c>
      <c r="W14" s="17">
        <v>1.0</v>
      </c>
      <c r="X14" s="17">
        <v>2.0</v>
      </c>
      <c r="Y14" s="17">
        <v>1.0</v>
      </c>
      <c r="Z14" s="17">
        <v>1.0</v>
      </c>
      <c r="AA14" s="17">
        <v>1.0</v>
      </c>
      <c r="AB14" s="20">
        <f t="shared" si="1"/>
        <v>21</v>
      </c>
      <c r="AC14" s="14">
        <f t="shared" si="2"/>
        <v>0.6176470588</v>
      </c>
      <c r="AD14" s="17">
        <v>0.0</v>
      </c>
      <c r="AE14" s="17">
        <v>0.0</v>
      </c>
      <c r="AF14" s="17">
        <v>0.0</v>
      </c>
      <c r="AG14" s="17">
        <v>1.0</v>
      </c>
      <c r="AH14" s="17">
        <v>0.0</v>
      </c>
      <c r="AI14" s="17">
        <v>1.0</v>
      </c>
      <c r="AJ14" s="17">
        <v>2.0</v>
      </c>
      <c r="AK14" s="17">
        <v>1.0</v>
      </c>
      <c r="AL14" s="17">
        <v>1.0</v>
      </c>
      <c r="AM14" s="17">
        <v>1.0</v>
      </c>
      <c r="AN14" s="17">
        <v>1.0</v>
      </c>
      <c r="AO14" s="17">
        <v>1.0</v>
      </c>
      <c r="AP14" s="17">
        <v>1.0</v>
      </c>
      <c r="AQ14" s="17">
        <v>1.0</v>
      </c>
      <c r="AR14" s="17">
        <v>1.0</v>
      </c>
      <c r="AS14" s="20">
        <f t="shared" si="3"/>
        <v>12</v>
      </c>
      <c r="AT14" s="14">
        <f t="shared" si="4"/>
        <v>0.4</v>
      </c>
      <c r="AU14" s="17">
        <v>2.0</v>
      </c>
      <c r="AV14" s="17">
        <v>1.0</v>
      </c>
      <c r="AW14" s="17">
        <v>1.0</v>
      </c>
      <c r="AX14" s="17">
        <v>1.0</v>
      </c>
      <c r="AY14" s="17">
        <v>1.0</v>
      </c>
      <c r="AZ14" s="17">
        <v>0.0</v>
      </c>
      <c r="BA14" s="17">
        <v>2.0</v>
      </c>
      <c r="BB14" s="17">
        <v>1.0</v>
      </c>
      <c r="BC14" s="17">
        <v>1.0</v>
      </c>
      <c r="BD14" s="17">
        <v>1.0</v>
      </c>
      <c r="BE14" s="17">
        <v>1.0</v>
      </c>
      <c r="BF14" s="17">
        <v>1.0</v>
      </c>
      <c r="BG14" s="17">
        <v>1.0</v>
      </c>
      <c r="BH14" s="17">
        <v>1.0</v>
      </c>
      <c r="BI14" s="17">
        <v>1.0</v>
      </c>
      <c r="BJ14" s="9">
        <f t="shared" si="5"/>
        <v>16</v>
      </c>
      <c r="BK14" s="12">
        <f t="shared" si="6"/>
        <v>0.5714285714</v>
      </c>
      <c r="BL14" s="17">
        <v>1.0</v>
      </c>
      <c r="BM14" s="17">
        <v>1.0</v>
      </c>
      <c r="BN14" s="17">
        <v>1.0</v>
      </c>
      <c r="BO14" s="17">
        <v>1.0</v>
      </c>
      <c r="BP14" s="9">
        <f t="shared" si="7"/>
        <v>4</v>
      </c>
      <c r="BQ14" s="12">
        <f t="shared" si="8"/>
        <v>0.5</v>
      </c>
      <c r="BR14" s="17">
        <v>1.0</v>
      </c>
      <c r="BS14" s="17">
        <v>1.0</v>
      </c>
      <c r="BT14" s="17">
        <v>1.0</v>
      </c>
      <c r="BU14" s="17">
        <v>1.0</v>
      </c>
      <c r="BV14" s="17">
        <v>1.0</v>
      </c>
      <c r="BW14" s="17">
        <v>1.0</v>
      </c>
      <c r="BX14" s="17">
        <v>0.0</v>
      </c>
      <c r="BY14" s="17">
        <v>1.0</v>
      </c>
      <c r="BZ14" s="17">
        <v>1.0</v>
      </c>
      <c r="CA14" s="17">
        <v>1.0</v>
      </c>
      <c r="CB14" s="17">
        <v>1.0</v>
      </c>
      <c r="CC14" s="17">
        <v>1.0</v>
      </c>
      <c r="CD14" s="17">
        <v>1.0</v>
      </c>
      <c r="CE14" s="17">
        <v>1.0</v>
      </c>
      <c r="CF14" s="17">
        <v>1.0</v>
      </c>
      <c r="CG14" s="17">
        <v>1.0</v>
      </c>
      <c r="CH14" s="17">
        <v>0.0</v>
      </c>
      <c r="CI14" s="17">
        <v>1.0</v>
      </c>
      <c r="CJ14" s="17">
        <v>1.0</v>
      </c>
      <c r="CK14" s="17">
        <v>1.0</v>
      </c>
      <c r="CL14" s="17">
        <v>1.0</v>
      </c>
      <c r="CM14" s="17">
        <v>1.0</v>
      </c>
      <c r="CN14" s="17">
        <v>1.0</v>
      </c>
      <c r="CO14" s="17">
        <v>1.0</v>
      </c>
      <c r="CP14" s="21">
        <f t="shared" si="9"/>
        <v>22</v>
      </c>
      <c r="CQ14" s="14">
        <f t="shared" si="10"/>
        <v>0.4583333333</v>
      </c>
      <c r="CR14" s="15">
        <f t="shared" si="11"/>
        <v>75</v>
      </c>
      <c r="CS14" s="14">
        <f t="shared" si="12"/>
        <v>0.5</v>
      </c>
    </row>
    <row r="15" ht="22.5" customHeight="1">
      <c r="A15" s="16">
        <v>46139.532028113426</v>
      </c>
      <c r="B15" s="17" t="s">
        <v>253</v>
      </c>
      <c r="C15" s="18">
        <v>0.0</v>
      </c>
      <c r="D15" s="17" t="s">
        <v>254</v>
      </c>
      <c r="E15" s="19" t="s">
        <v>255</v>
      </c>
      <c r="F15" s="17" t="s">
        <v>256</v>
      </c>
      <c r="G15" s="17" t="s">
        <v>257</v>
      </c>
      <c r="H15" s="17" t="s">
        <v>239</v>
      </c>
      <c r="I15" s="17" t="s">
        <v>194</v>
      </c>
      <c r="J15" s="17" t="s">
        <v>195</v>
      </c>
      <c r="K15" s="17">
        <v>1.0</v>
      </c>
      <c r="L15" s="17">
        <v>1.0</v>
      </c>
      <c r="M15" s="17">
        <v>0.0</v>
      </c>
      <c r="N15" s="17">
        <v>1.0</v>
      </c>
      <c r="O15" s="17">
        <v>1.0</v>
      </c>
      <c r="P15" s="17">
        <v>0.0</v>
      </c>
      <c r="Q15" s="17">
        <v>2.0</v>
      </c>
      <c r="R15" s="17">
        <v>0.0</v>
      </c>
      <c r="S15" s="17">
        <v>0.0</v>
      </c>
      <c r="T15" s="17">
        <v>1.0</v>
      </c>
      <c r="U15" s="17">
        <v>1.0</v>
      </c>
      <c r="V15" s="17">
        <v>0.0</v>
      </c>
      <c r="W15" s="17">
        <v>0.0</v>
      </c>
      <c r="X15" s="17">
        <v>0.0</v>
      </c>
      <c r="Y15" s="17">
        <v>1.0</v>
      </c>
      <c r="Z15" s="17">
        <v>0.0</v>
      </c>
      <c r="AA15" s="17">
        <v>0.0</v>
      </c>
      <c r="AB15" s="20">
        <f t="shared" si="1"/>
        <v>9</v>
      </c>
      <c r="AC15" s="14">
        <f t="shared" si="2"/>
        <v>0.2647058824</v>
      </c>
      <c r="AD15" s="17">
        <v>0.0</v>
      </c>
      <c r="AE15" s="17">
        <v>0.0</v>
      </c>
      <c r="AF15" s="17">
        <v>0.0</v>
      </c>
      <c r="AG15" s="17">
        <v>0.0</v>
      </c>
      <c r="AH15" s="17">
        <v>0.0</v>
      </c>
      <c r="AI15" s="17">
        <v>0.0</v>
      </c>
      <c r="AJ15" s="17">
        <v>0.0</v>
      </c>
      <c r="AK15" s="17">
        <v>1.0</v>
      </c>
      <c r="AL15" s="17">
        <v>0.0</v>
      </c>
      <c r="AM15" s="17">
        <v>0.0</v>
      </c>
      <c r="AN15" s="17">
        <v>0.0</v>
      </c>
      <c r="AO15" s="17">
        <v>0.0</v>
      </c>
      <c r="AP15" s="17">
        <v>0.0</v>
      </c>
      <c r="AQ15" s="17">
        <v>1.0</v>
      </c>
      <c r="AR15" s="17">
        <v>0.0</v>
      </c>
      <c r="AS15" s="20">
        <f t="shared" si="3"/>
        <v>2</v>
      </c>
      <c r="AT15" s="14">
        <f t="shared" si="4"/>
        <v>0.06666666667</v>
      </c>
      <c r="AU15" s="17">
        <v>0.0</v>
      </c>
      <c r="AV15" s="17">
        <v>0.0</v>
      </c>
      <c r="AW15" s="17">
        <v>1.0</v>
      </c>
      <c r="AX15" s="17">
        <v>0.0</v>
      </c>
      <c r="AY15" s="17">
        <v>0.0</v>
      </c>
      <c r="AZ15" s="17">
        <v>0.0</v>
      </c>
      <c r="BA15" s="17">
        <v>0.0</v>
      </c>
      <c r="BB15" s="17">
        <v>0.0</v>
      </c>
      <c r="BC15" s="17">
        <v>0.0</v>
      </c>
      <c r="BD15" s="17">
        <v>0.0</v>
      </c>
      <c r="BE15" s="17">
        <v>0.0</v>
      </c>
      <c r="BF15" s="17">
        <v>0.0</v>
      </c>
      <c r="BG15" s="17">
        <v>0.0</v>
      </c>
      <c r="BH15" s="17">
        <v>0.0</v>
      </c>
      <c r="BI15" s="17">
        <v>0.0</v>
      </c>
      <c r="BJ15" s="9">
        <f t="shared" si="5"/>
        <v>1</v>
      </c>
      <c r="BK15" s="12">
        <f t="shared" si="6"/>
        <v>0.03571428571</v>
      </c>
      <c r="BL15" s="17">
        <v>0.0</v>
      </c>
      <c r="BM15" s="17">
        <v>0.0</v>
      </c>
      <c r="BN15" s="17">
        <v>0.0</v>
      </c>
      <c r="BO15" s="17">
        <v>0.0</v>
      </c>
      <c r="BP15" s="9">
        <f t="shared" si="7"/>
        <v>0</v>
      </c>
      <c r="BQ15" s="12">
        <f t="shared" si="8"/>
        <v>0</v>
      </c>
      <c r="BR15" s="17">
        <v>0.0</v>
      </c>
      <c r="BS15" s="17">
        <v>0.0</v>
      </c>
      <c r="BT15" s="17">
        <v>0.0</v>
      </c>
      <c r="BU15" s="17">
        <v>0.0</v>
      </c>
      <c r="BV15" s="17">
        <v>0.0</v>
      </c>
      <c r="BW15" s="17">
        <v>0.0</v>
      </c>
      <c r="BX15" s="17">
        <v>0.0</v>
      </c>
      <c r="BY15" s="17">
        <v>0.0</v>
      </c>
      <c r="BZ15" s="17">
        <v>0.0</v>
      </c>
      <c r="CA15" s="17">
        <v>1.0</v>
      </c>
      <c r="CB15" s="17">
        <v>0.0</v>
      </c>
      <c r="CC15" s="17">
        <v>0.0</v>
      </c>
      <c r="CD15" s="17">
        <v>0.0</v>
      </c>
      <c r="CE15" s="17">
        <v>0.0</v>
      </c>
      <c r="CF15" s="17">
        <v>0.0</v>
      </c>
      <c r="CG15" s="17">
        <v>0.0</v>
      </c>
      <c r="CH15" s="17">
        <v>1.0</v>
      </c>
      <c r="CI15" s="17">
        <v>1.0</v>
      </c>
      <c r="CJ15" s="17">
        <v>0.0</v>
      </c>
      <c r="CK15" s="17">
        <v>0.0</v>
      </c>
      <c r="CL15" s="17">
        <v>0.0</v>
      </c>
      <c r="CM15" s="17">
        <v>0.0</v>
      </c>
      <c r="CN15" s="17">
        <v>0.0</v>
      </c>
      <c r="CO15" s="17">
        <v>0.0</v>
      </c>
      <c r="CP15" s="21">
        <f t="shared" si="9"/>
        <v>3</v>
      </c>
      <c r="CQ15" s="14">
        <f t="shared" si="10"/>
        <v>0.0625</v>
      </c>
      <c r="CR15" s="15">
        <f t="shared" si="11"/>
        <v>15</v>
      </c>
      <c r="CS15" s="14">
        <f t="shared" si="12"/>
        <v>0.1</v>
      </c>
    </row>
    <row r="16" ht="22.5" customHeight="1">
      <c r="A16" s="16">
        <v>46139.541436898144</v>
      </c>
      <c r="B16" s="17" t="s">
        <v>258</v>
      </c>
      <c r="C16" s="18">
        <v>0.0</v>
      </c>
      <c r="D16" s="17" t="s">
        <v>259</v>
      </c>
      <c r="E16" s="19" t="s">
        <v>260</v>
      </c>
      <c r="F16" s="17" t="s">
        <v>261</v>
      </c>
      <c r="G16" s="17" t="s">
        <v>262</v>
      </c>
      <c r="H16" s="17" t="s">
        <v>193</v>
      </c>
      <c r="I16" s="17" t="s">
        <v>263</v>
      </c>
      <c r="J16" s="17" t="s">
        <v>227</v>
      </c>
      <c r="K16" s="17">
        <v>2.0</v>
      </c>
      <c r="L16" s="17">
        <v>2.0</v>
      </c>
      <c r="M16" s="17">
        <v>2.0</v>
      </c>
      <c r="N16" s="17">
        <v>1.0</v>
      </c>
      <c r="O16" s="17">
        <v>1.0</v>
      </c>
      <c r="P16" s="17">
        <v>1.0</v>
      </c>
      <c r="Q16" s="17">
        <v>1.0</v>
      </c>
      <c r="R16" s="17">
        <v>1.0</v>
      </c>
      <c r="S16" s="17">
        <v>1.0</v>
      </c>
      <c r="T16" s="17">
        <v>1.0</v>
      </c>
      <c r="U16" s="17">
        <v>1.0</v>
      </c>
      <c r="V16" s="17">
        <v>1.0</v>
      </c>
      <c r="W16" s="17">
        <v>2.0</v>
      </c>
      <c r="X16" s="17">
        <v>2.0</v>
      </c>
      <c r="Y16" s="17">
        <v>1.0</v>
      </c>
      <c r="Z16" s="17">
        <v>1.0</v>
      </c>
      <c r="AA16" s="17">
        <v>1.0</v>
      </c>
      <c r="AB16" s="20">
        <f t="shared" si="1"/>
        <v>22</v>
      </c>
      <c r="AC16" s="14">
        <f t="shared" si="2"/>
        <v>0.6470588235</v>
      </c>
      <c r="AD16" s="17">
        <v>0.0</v>
      </c>
      <c r="AE16" s="17">
        <v>0.0</v>
      </c>
      <c r="AF16" s="17">
        <v>0.0</v>
      </c>
      <c r="AG16" s="17">
        <v>0.0</v>
      </c>
      <c r="AH16" s="17">
        <v>0.0</v>
      </c>
      <c r="AI16" s="17">
        <v>1.0</v>
      </c>
      <c r="AJ16" s="17">
        <v>1.0</v>
      </c>
      <c r="AK16" s="17">
        <v>1.0</v>
      </c>
      <c r="AL16" s="17">
        <v>1.0</v>
      </c>
      <c r="AM16" s="17">
        <v>1.0</v>
      </c>
      <c r="AN16" s="17">
        <v>1.0</v>
      </c>
      <c r="AO16" s="17">
        <v>1.0</v>
      </c>
      <c r="AP16" s="17">
        <v>1.0</v>
      </c>
      <c r="AQ16" s="17">
        <v>1.0</v>
      </c>
      <c r="AR16" s="17">
        <v>1.0</v>
      </c>
      <c r="AS16" s="20">
        <f t="shared" si="3"/>
        <v>10</v>
      </c>
      <c r="AT16" s="14">
        <f t="shared" si="4"/>
        <v>0.3333333333</v>
      </c>
      <c r="AU16" s="17">
        <v>2.0</v>
      </c>
      <c r="AV16" s="17">
        <v>2.0</v>
      </c>
      <c r="AW16" s="17">
        <v>1.0</v>
      </c>
      <c r="AX16" s="17">
        <v>1.0</v>
      </c>
      <c r="AY16" s="17">
        <v>1.0</v>
      </c>
      <c r="AZ16" s="17">
        <v>1.0</v>
      </c>
      <c r="BA16" s="17">
        <v>2.0</v>
      </c>
      <c r="BB16" s="17">
        <v>1.0</v>
      </c>
      <c r="BC16" s="17">
        <v>1.0</v>
      </c>
      <c r="BD16" s="17">
        <v>1.0</v>
      </c>
      <c r="BE16" s="17">
        <v>1.0</v>
      </c>
      <c r="BF16" s="17">
        <v>2.0</v>
      </c>
      <c r="BG16" s="17">
        <v>1.0</v>
      </c>
      <c r="BH16" s="17">
        <v>1.0</v>
      </c>
      <c r="BI16" s="17">
        <v>0.0</v>
      </c>
      <c r="BJ16" s="9">
        <f t="shared" si="5"/>
        <v>18</v>
      </c>
      <c r="BK16" s="12">
        <f t="shared" si="6"/>
        <v>0.6428571429</v>
      </c>
      <c r="BL16" s="17">
        <v>1.0</v>
      </c>
      <c r="BM16" s="17">
        <v>1.0</v>
      </c>
      <c r="BN16" s="17">
        <v>1.0</v>
      </c>
      <c r="BO16" s="17">
        <v>1.0</v>
      </c>
      <c r="BP16" s="9">
        <f t="shared" si="7"/>
        <v>4</v>
      </c>
      <c r="BQ16" s="12">
        <f t="shared" si="8"/>
        <v>0.5</v>
      </c>
      <c r="BR16" s="17">
        <v>1.0</v>
      </c>
      <c r="BS16" s="17">
        <v>1.0</v>
      </c>
      <c r="BT16" s="17">
        <v>1.0</v>
      </c>
      <c r="BU16" s="17">
        <v>1.0</v>
      </c>
      <c r="BV16" s="17">
        <v>1.0</v>
      </c>
      <c r="BW16" s="17">
        <v>2.0</v>
      </c>
      <c r="BX16" s="17">
        <v>1.0</v>
      </c>
      <c r="BY16" s="17">
        <v>2.0</v>
      </c>
      <c r="BZ16" s="17">
        <v>1.0</v>
      </c>
      <c r="CA16" s="17">
        <v>2.0</v>
      </c>
      <c r="CB16" s="17">
        <v>2.0</v>
      </c>
      <c r="CC16" s="17">
        <v>1.0</v>
      </c>
      <c r="CD16" s="17">
        <v>1.0</v>
      </c>
      <c r="CE16" s="17">
        <v>1.0</v>
      </c>
      <c r="CF16" s="17">
        <v>1.0</v>
      </c>
      <c r="CG16" s="17">
        <v>1.0</v>
      </c>
      <c r="CH16" s="17">
        <v>1.0</v>
      </c>
      <c r="CI16" s="17">
        <v>1.0</v>
      </c>
      <c r="CJ16" s="17">
        <v>1.0</v>
      </c>
      <c r="CK16" s="17">
        <v>1.0</v>
      </c>
      <c r="CL16" s="17">
        <v>1.0</v>
      </c>
      <c r="CM16" s="17">
        <v>1.0</v>
      </c>
      <c r="CN16" s="17">
        <v>1.0</v>
      </c>
      <c r="CO16" s="17">
        <v>1.0</v>
      </c>
      <c r="CP16" s="21">
        <f t="shared" si="9"/>
        <v>28</v>
      </c>
      <c r="CQ16" s="14">
        <f t="shared" si="10"/>
        <v>0.5833333333</v>
      </c>
      <c r="CR16" s="15">
        <f t="shared" si="11"/>
        <v>82</v>
      </c>
      <c r="CS16" s="14">
        <f t="shared" si="12"/>
        <v>0.5466666667</v>
      </c>
    </row>
    <row r="17" ht="22.5" customHeight="1">
      <c r="A17" s="16">
        <v>46139.54293271991</v>
      </c>
      <c r="B17" s="17" t="s">
        <v>264</v>
      </c>
      <c r="C17" s="18">
        <v>0.0</v>
      </c>
      <c r="D17" s="17" t="s">
        <v>265</v>
      </c>
      <c r="E17" s="19" t="s">
        <v>266</v>
      </c>
      <c r="F17" s="17" t="s">
        <v>191</v>
      </c>
      <c r="G17" s="17" t="s">
        <v>267</v>
      </c>
      <c r="H17" s="17" t="s">
        <v>193</v>
      </c>
      <c r="I17" s="17" t="s">
        <v>194</v>
      </c>
      <c r="J17" s="17" t="s">
        <v>195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0.0</v>
      </c>
      <c r="R17" s="17">
        <v>0.0</v>
      </c>
      <c r="S17" s="17">
        <v>0.0</v>
      </c>
      <c r="T17" s="17">
        <v>0.0</v>
      </c>
      <c r="U17" s="17">
        <v>0.0</v>
      </c>
      <c r="V17" s="17">
        <v>0.0</v>
      </c>
      <c r="W17" s="17">
        <v>0.0</v>
      </c>
      <c r="X17" s="17">
        <v>0.0</v>
      </c>
      <c r="Y17" s="17">
        <v>0.0</v>
      </c>
      <c r="Z17" s="17">
        <v>0.0</v>
      </c>
      <c r="AA17" s="17">
        <v>0.0</v>
      </c>
      <c r="AB17" s="20">
        <f t="shared" si="1"/>
        <v>0</v>
      </c>
      <c r="AC17" s="14">
        <f t="shared" si="2"/>
        <v>0</v>
      </c>
      <c r="AD17" s="17">
        <v>0.0</v>
      </c>
      <c r="AE17" s="17">
        <v>0.0</v>
      </c>
      <c r="AF17" s="17">
        <v>0.0</v>
      </c>
      <c r="AG17" s="17">
        <v>0.0</v>
      </c>
      <c r="AH17" s="17">
        <v>0.0</v>
      </c>
      <c r="AI17" s="17">
        <v>0.0</v>
      </c>
      <c r="AJ17" s="17">
        <v>0.0</v>
      </c>
      <c r="AK17" s="17">
        <v>0.0</v>
      </c>
      <c r="AL17" s="17">
        <v>0.0</v>
      </c>
      <c r="AM17" s="17">
        <v>0.0</v>
      </c>
      <c r="AN17" s="17">
        <v>0.0</v>
      </c>
      <c r="AO17" s="17">
        <v>0.0</v>
      </c>
      <c r="AP17" s="17">
        <v>0.0</v>
      </c>
      <c r="AQ17" s="17">
        <v>0.0</v>
      </c>
      <c r="AR17" s="17">
        <v>0.0</v>
      </c>
      <c r="AS17" s="20">
        <f t="shared" si="3"/>
        <v>0</v>
      </c>
      <c r="AT17" s="14">
        <f t="shared" si="4"/>
        <v>0</v>
      </c>
      <c r="AU17" s="17">
        <v>0.0</v>
      </c>
      <c r="AV17" s="17">
        <v>0.0</v>
      </c>
      <c r="AW17" s="17">
        <v>0.0</v>
      </c>
      <c r="AX17" s="17">
        <v>0.0</v>
      </c>
      <c r="AY17" s="17">
        <v>0.0</v>
      </c>
      <c r="AZ17" s="17">
        <v>0.0</v>
      </c>
      <c r="BA17" s="17">
        <v>0.0</v>
      </c>
      <c r="BB17" s="17">
        <v>0.0</v>
      </c>
      <c r="BC17" s="17">
        <v>0.0</v>
      </c>
      <c r="BD17" s="17">
        <v>0.0</v>
      </c>
      <c r="BE17" s="17">
        <v>0.0</v>
      </c>
      <c r="BF17" s="17">
        <v>0.0</v>
      </c>
      <c r="BG17" s="17">
        <v>0.0</v>
      </c>
      <c r="BH17" s="17">
        <v>0.0</v>
      </c>
      <c r="BI17" s="17">
        <v>0.0</v>
      </c>
      <c r="BJ17" s="9">
        <f t="shared" si="5"/>
        <v>0</v>
      </c>
      <c r="BK17" s="12">
        <f t="shared" si="6"/>
        <v>0</v>
      </c>
      <c r="BL17" s="17">
        <v>0.0</v>
      </c>
      <c r="BM17" s="17">
        <v>0.0</v>
      </c>
      <c r="BN17" s="17">
        <v>0.0</v>
      </c>
      <c r="BO17" s="17">
        <v>0.0</v>
      </c>
      <c r="BP17" s="9">
        <f t="shared" si="7"/>
        <v>0</v>
      </c>
      <c r="BQ17" s="12">
        <f t="shared" si="8"/>
        <v>0</v>
      </c>
      <c r="BR17" s="17">
        <v>0.0</v>
      </c>
      <c r="BS17" s="17">
        <v>0.0</v>
      </c>
      <c r="BT17" s="17">
        <v>0.0</v>
      </c>
      <c r="BU17" s="17">
        <v>0.0</v>
      </c>
      <c r="BV17" s="17">
        <v>0.0</v>
      </c>
      <c r="BW17" s="17">
        <v>0.0</v>
      </c>
      <c r="BX17" s="17">
        <v>0.0</v>
      </c>
      <c r="BY17" s="17">
        <v>0.0</v>
      </c>
      <c r="BZ17" s="17">
        <v>0.0</v>
      </c>
      <c r="CA17" s="17">
        <v>0.0</v>
      </c>
      <c r="CB17" s="17">
        <v>0.0</v>
      </c>
      <c r="CC17" s="17">
        <v>0.0</v>
      </c>
      <c r="CD17" s="17">
        <v>0.0</v>
      </c>
      <c r="CE17" s="17">
        <v>0.0</v>
      </c>
      <c r="CF17" s="17">
        <v>0.0</v>
      </c>
      <c r="CG17" s="17">
        <v>0.0</v>
      </c>
      <c r="CH17" s="17">
        <v>0.0</v>
      </c>
      <c r="CI17" s="17">
        <v>0.0</v>
      </c>
      <c r="CJ17" s="17">
        <v>0.0</v>
      </c>
      <c r="CK17" s="17">
        <v>0.0</v>
      </c>
      <c r="CL17" s="17">
        <v>0.0</v>
      </c>
      <c r="CM17" s="17">
        <v>0.0</v>
      </c>
      <c r="CN17" s="17">
        <v>0.0</v>
      </c>
      <c r="CO17" s="17">
        <v>0.0</v>
      </c>
      <c r="CP17" s="21">
        <f t="shared" si="9"/>
        <v>0</v>
      </c>
      <c r="CQ17" s="14">
        <f t="shared" si="10"/>
        <v>0</v>
      </c>
      <c r="CR17" s="15">
        <f t="shared" si="11"/>
        <v>0</v>
      </c>
      <c r="CS17" s="14">
        <f t="shared" si="12"/>
        <v>0</v>
      </c>
    </row>
    <row r="18" ht="22.5" customHeight="1">
      <c r="A18" s="16">
        <v>46139.54855386574</v>
      </c>
      <c r="B18" s="17" t="s">
        <v>268</v>
      </c>
      <c r="C18" s="18">
        <v>0.0</v>
      </c>
      <c r="D18" s="17" t="s">
        <v>269</v>
      </c>
      <c r="E18" s="19" t="s">
        <v>270</v>
      </c>
      <c r="F18" s="17" t="s">
        <v>271</v>
      </c>
      <c r="G18" s="17" t="s">
        <v>272</v>
      </c>
      <c r="H18" s="17" t="s">
        <v>273</v>
      </c>
      <c r="I18" s="17" t="s">
        <v>226</v>
      </c>
      <c r="J18" s="17" t="s">
        <v>227</v>
      </c>
      <c r="K18" s="17">
        <v>1.0</v>
      </c>
      <c r="L18" s="17">
        <v>1.0</v>
      </c>
      <c r="M18" s="17">
        <v>1.0</v>
      </c>
      <c r="N18" s="17">
        <v>1.0</v>
      </c>
      <c r="O18" s="17">
        <v>1.0</v>
      </c>
      <c r="P18" s="17">
        <v>1.0</v>
      </c>
      <c r="Q18" s="17">
        <v>2.0</v>
      </c>
      <c r="R18" s="17">
        <v>1.0</v>
      </c>
      <c r="S18" s="17">
        <v>1.0</v>
      </c>
      <c r="T18" s="17">
        <v>1.0</v>
      </c>
      <c r="U18" s="17">
        <v>1.0</v>
      </c>
      <c r="V18" s="17">
        <v>1.0</v>
      </c>
      <c r="W18" s="17">
        <v>1.0</v>
      </c>
      <c r="X18" s="17">
        <v>1.0</v>
      </c>
      <c r="Y18" s="17">
        <v>0.0</v>
      </c>
      <c r="Z18" s="17">
        <v>0.0</v>
      </c>
      <c r="AA18" s="17">
        <v>0.0</v>
      </c>
      <c r="AB18" s="20">
        <f t="shared" si="1"/>
        <v>15</v>
      </c>
      <c r="AC18" s="14">
        <f t="shared" si="2"/>
        <v>0.4411764706</v>
      </c>
      <c r="AD18" s="17">
        <v>0.0</v>
      </c>
      <c r="AE18" s="17">
        <v>0.0</v>
      </c>
      <c r="AF18" s="17">
        <v>0.0</v>
      </c>
      <c r="AG18" s="17">
        <v>0.0</v>
      </c>
      <c r="AH18" s="17">
        <v>0.0</v>
      </c>
      <c r="AI18" s="17">
        <v>1.0</v>
      </c>
      <c r="AJ18" s="17">
        <v>2.0</v>
      </c>
      <c r="AK18" s="17">
        <v>0.0</v>
      </c>
      <c r="AL18" s="17">
        <v>0.0</v>
      </c>
      <c r="AM18" s="17">
        <v>0.0</v>
      </c>
      <c r="AN18" s="17">
        <v>2.0</v>
      </c>
      <c r="AO18" s="17">
        <v>0.0</v>
      </c>
      <c r="AP18" s="17">
        <v>0.0</v>
      </c>
      <c r="AQ18" s="17">
        <v>1.0</v>
      </c>
      <c r="AR18" s="17">
        <v>0.0</v>
      </c>
      <c r="AS18" s="20">
        <f t="shared" si="3"/>
        <v>6</v>
      </c>
      <c r="AT18" s="14">
        <f t="shared" si="4"/>
        <v>0.2</v>
      </c>
      <c r="AU18" s="17">
        <v>1.0</v>
      </c>
      <c r="AV18" s="17">
        <v>1.0</v>
      </c>
      <c r="AW18" s="17">
        <v>1.0</v>
      </c>
      <c r="AX18" s="17">
        <v>1.0</v>
      </c>
      <c r="AY18" s="17">
        <v>1.0</v>
      </c>
      <c r="AZ18" s="17">
        <v>0.0</v>
      </c>
      <c r="BA18" s="17">
        <v>1.0</v>
      </c>
      <c r="BB18" s="17">
        <v>1.0</v>
      </c>
      <c r="BC18" s="17">
        <v>1.0</v>
      </c>
      <c r="BD18" s="17">
        <v>0.0</v>
      </c>
      <c r="BE18" s="17">
        <v>1.0</v>
      </c>
      <c r="BF18" s="17">
        <v>2.0</v>
      </c>
      <c r="BG18" s="17">
        <v>0.0</v>
      </c>
      <c r="BH18" s="17">
        <v>1.0</v>
      </c>
      <c r="BI18" s="17">
        <v>1.0</v>
      </c>
      <c r="BJ18" s="9">
        <f t="shared" si="5"/>
        <v>13</v>
      </c>
      <c r="BK18" s="12">
        <f t="shared" si="6"/>
        <v>0.4642857143</v>
      </c>
      <c r="BL18" s="17">
        <v>0.0</v>
      </c>
      <c r="BM18" s="17">
        <v>1.0</v>
      </c>
      <c r="BN18" s="17">
        <v>0.0</v>
      </c>
      <c r="BO18" s="17">
        <v>1.0</v>
      </c>
      <c r="BP18" s="9">
        <f t="shared" si="7"/>
        <v>2</v>
      </c>
      <c r="BQ18" s="12">
        <f t="shared" si="8"/>
        <v>0.25</v>
      </c>
      <c r="BR18" s="17">
        <v>0.0</v>
      </c>
      <c r="BS18" s="17">
        <v>0.0</v>
      </c>
      <c r="BT18" s="17">
        <v>0.0</v>
      </c>
      <c r="BU18" s="17">
        <v>1.0</v>
      </c>
      <c r="BV18" s="17">
        <v>1.0</v>
      </c>
      <c r="BW18" s="17">
        <v>2.0</v>
      </c>
      <c r="BX18" s="17">
        <v>1.0</v>
      </c>
      <c r="BY18" s="17">
        <v>2.0</v>
      </c>
      <c r="BZ18" s="17">
        <v>0.0</v>
      </c>
      <c r="CA18" s="17">
        <v>2.0</v>
      </c>
      <c r="CB18" s="17">
        <v>2.0</v>
      </c>
      <c r="CC18" s="17">
        <v>1.0</v>
      </c>
      <c r="CD18" s="17">
        <v>1.0</v>
      </c>
      <c r="CE18" s="17">
        <v>1.0</v>
      </c>
      <c r="CF18" s="17">
        <v>1.0</v>
      </c>
      <c r="CG18" s="17">
        <v>2.0</v>
      </c>
      <c r="CH18" s="17">
        <v>0.0</v>
      </c>
      <c r="CI18" s="17">
        <v>2.0</v>
      </c>
      <c r="CJ18" s="17">
        <v>2.0</v>
      </c>
      <c r="CK18" s="17">
        <v>0.0</v>
      </c>
      <c r="CL18" s="17">
        <v>1.0</v>
      </c>
      <c r="CM18" s="17">
        <v>1.0</v>
      </c>
      <c r="CN18" s="17">
        <v>0.0</v>
      </c>
      <c r="CO18" s="17">
        <v>0.0</v>
      </c>
      <c r="CP18" s="21">
        <f t="shared" si="9"/>
        <v>23</v>
      </c>
      <c r="CQ18" s="14">
        <f t="shared" si="10"/>
        <v>0.4791666667</v>
      </c>
      <c r="CR18" s="15">
        <f t="shared" si="11"/>
        <v>59</v>
      </c>
      <c r="CS18" s="14">
        <f t="shared" si="12"/>
        <v>0.3933333333</v>
      </c>
    </row>
    <row r="19" ht="22.5" customHeight="1">
      <c r="A19" s="16">
        <v>46139.55024420139</v>
      </c>
      <c r="B19" s="17" t="s">
        <v>274</v>
      </c>
      <c r="C19" s="18">
        <v>0.0</v>
      </c>
      <c r="D19" s="17" t="s">
        <v>275</v>
      </c>
      <c r="E19" s="19" t="s">
        <v>276</v>
      </c>
      <c r="F19" s="17" t="s">
        <v>277</v>
      </c>
      <c r="G19" s="17" t="s">
        <v>278</v>
      </c>
      <c r="H19" s="17" t="s">
        <v>279</v>
      </c>
      <c r="I19" s="17" t="s">
        <v>194</v>
      </c>
      <c r="J19" s="17" t="s">
        <v>195</v>
      </c>
      <c r="K19" s="17">
        <v>1.0</v>
      </c>
      <c r="L19" s="17">
        <v>1.0</v>
      </c>
      <c r="M19" s="17">
        <v>1.0</v>
      </c>
      <c r="N19" s="17">
        <v>1.0</v>
      </c>
      <c r="O19" s="17">
        <v>1.0</v>
      </c>
      <c r="P19" s="17">
        <v>1.0</v>
      </c>
      <c r="Q19" s="17">
        <v>1.0</v>
      </c>
      <c r="R19" s="17">
        <v>1.0</v>
      </c>
      <c r="S19" s="17">
        <v>1.0</v>
      </c>
      <c r="T19" s="17">
        <v>1.0</v>
      </c>
      <c r="U19" s="17">
        <v>1.0</v>
      </c>
      <c r="V19" s="17">
        <v>1.0</v>
      </c>
      <c r="W19" s="17">
        <v>2.0</v>
      </c>
      <c r="X19" s="17">
        <v>0.0</v>
      </c>
      <c r="Y19" s="17">
        <v>0.0</v>
      </c>
      <c r="Z19" s="17">
        <v>0.0</v>
      </c>
      <c r="AA19" s="17">
        <v>0.0</v>
      </c>
      <c r="AB19" s="20">
        <f t="shared" si="1"/>
        <v>14</v>
      </c>
      <c r="AC19" s="14">
        <f t="shared" si="2"/>
        <v>0.4117647059</v>
      </c>
      <c r="AD19" s="17">
        <v>0.0</v>
      </c>
      <c r="AE19" s="17">
        <v>0.0</v>
      </c>
      <c r="AF19" s="17">
        <v>0.0</v>
      </c>
      <c r="AG19" s="17">
        <v>0.0</v>
      </c>
      <c r="AH19" s="17">
        <v>0.0</v>
      </c>
      <c r="AI19" s="17">
        <v>0.0</v>
      </c>
      <c r="AJ19" s="17">
        <v>0.0</v>
      </c>
      <c r="AK19" s="17">
        <v>0.0</v>
      </c>
      <c r="AL19" s="17">
        <v>0.0</v>
      </c>
      <c r="AM19" s="17">
        <v>0.0</v>
      </c>
      <c r="AN19" s="17">
        <v>0.0</v>
      </c>
      <c r="AO19" s="17">
        <v>0.0</v>
      </c>
      <c r="AP19" s="17">
        <v>0.0</v>
      </c>
      <c r="AQ19" s="17">
        <v>0.0</v>
      </c>
      <c r="AR19" s="17">
        <v>0.0</v>
      </c>
      <c r="AS19" s="20">
        <f t="shared" si="3"/>
        <v>0</v>
      </c>
      <c r="AT19" s="14">
        <f t="shared" si="4"/>
        <v>0</v>
      </c>
      <c r="AU19" s="17">
        <v>1.0</v>
      </c>
      <c r="AV19" s="17">
        <v>1.0</v>
      </c>
      <c r="AW19" s="17">
        <v>1.0</v>
      </c>
      <c r="AX19" s="17">
        <v>0.0</v>
      </c>
      <c r="AY19" s="17">
        <v>0.0</v>
      </c>
      <c r="AZ19" s="17">
        <v>0.0</v>
      </c>
      <c r="BA19" s="17">
        <v>1.0</v>
      </c>
      <c r="BB19" s="17">
        <v>1.0</v>
      </c>
      <c r="BC19" s="17">
        <v>1.0</v>
      </c>
      <c r="BD19" s="17">
        <v>0.0</v>
      </c>
      <c r="BE19" s="17">
        <v>0.0</v>
      </c>
      <c r="BF19" s="17">
        <v>1.0</v>
      </c>
      <c r="BG19" s="17">
        <v>0.0</v>
      </c>
      <c r="BH19" s="17">
        <v>2.0</v>
      </c>
      <c r="BI19" s="17">
        <v>0.0</v>
      </c>
      <c r="BJ19" s="9">
        <f t="shared" si="5"/>
        <v>9</v>
      </c>
      <c r="BK19" s="12">
        <f t="shared" si="6"/>
        <v>0.3214285714</v>
      </c>
      <c r="BL19" s="17">
        <v>0.0</v>
      </c>
      <c r="BM19" s="17">
        <v>0.0</v>
      </c>
      <c r="BN19" s="17">
        <v>0.0</v>
      </c>
      <c r="BO19" s="17">
        <v>0.0</v>
      </c>
      <c r="BP19" s="9">
        <f t="shared" si="7"/>
        <v>0</v>
      </c>
      <c r="BQ19" s="12">
        <f t="shared" si="8"/>
        <v>0</v>
      </c>
      <c r="BR19" s="17">
        <v>0.0</v>
      </c>
      <c r="BS19" s="17">
        <v>0.0</v>
      </c>
      <c r="BT19" s="17">
        <v>0.0</v>
      </c>
      <c r="BU19" s="17">
        <v>0.0</v>
      </c>
      <c r="BV19" s="17">
        <v>1.0</v>
      </c>
      <c r="BW19" s="17">
        <v>0.0</v>
      </c>
      <c r="BX19" s="17">
        <v>0.0</v>
      </c>
      <c r="BY19" s="17">
        <v>1.0</v>
      </c>
      <c r="BZ19" s="17">
        <v>1.0</v>
      </c>
      <c r="CA19" s="17">
        <v>2.0</v>
      </c>
      <c r="CB19" s="17">
        <v>2.0</v>
      </c>
      <c r="CC19" s="17">
        <v>1.0</v>
      </c>
      <c r="CD19" s="17">
        <v>0.0</v>
      </c>
      <c r="CE19" s="17">
        <v>1.0</v>
      </c>
      <c r="CF19" s="17">
        <v>1.0</v>
      </c>
      <c r="CG19" s="17">
        <v>1.0</v>
      </c>
      <c r="CH19" s="17">
        <v>1.0</v>
      </c>
      <c r="CI19" s="17">
        <v>1.0</v>
      </c>
      <c r="CJ19" s="17">
        <v>1.0</v>
      </c>
      <c r="CK19" s="17">
        <v>0.0</v>
      </c>
      <c r="CL19" s="17">
        <v>0.0</v>
      </c>
      <c r="CM19" s="17">
        <v>0.0</v>
      </c>
      <c r="CN19" s="17">
        <v>0.0</v>
      </c>
      <c r="CO19" s="17">
        <v>0.0</v>
      </c>
      <c r="CP19" s="21">
        <f t="shared" si="9"/>
        <v>14</v>
      </c>
      <c r="CQ19" s="14">
        <f t="shared" si="10"/>
        <v>0.2916666667</v>
      </c>
      <c r="CR19" s="15">
        <f t="shared" si="11"/>
        <v>37</v>
      </c>
      <c r="CS19" s="14">
        <f t="shared" si="12"/>
        <v>0.2466666667</v>
      </c>
    </row>
    <row r="20" ht="22.5" customHeight="1">
      <c r="A20" s="16">
        <v>46139.551232812504</v>
      </c>
      <c r="B20" s="17" t="s">
        <v>280</v>
      </c>
      <c r="C20" s="18">
        <v>0.0</v>
      </c>
      <c r="D20" s="17" t="s">
        <v>281</v>
      </c>
      <c r="E20" s="19" t="s">
        <v>282</v>
      </c>
      <c r="F20" s="17" t="s">
        <v>283</v>
      </c>
      <c r="G20" s="17" t="s">
        <v>284</v>
      </c>
      <c r="H20" s="17" t="s">
        <v>250</v>
      </c>
      <c r="I20" s="17" t="s">
        <v>194</v>
      </c>
      <c r="J20" s="17" t="s">
        <v>195</v>
      </c>
      <c r="K20" s="17">
        <v>2.0</v>
      </c>
      <c r="L20" s="17">
        <v>1.0</v>
      </c>
      <c r="M20" s="17">
        <v>1.0</v>
      </c>
      <c r="N20" s="17">
        <v>1.0</v>
      </c>
      <c r="O20" s="17">
        <v>1.0</v>
      </c>
      <c r="P20" s="17">
        <v>0.0</v>
      </c>
      <c r="Q20" s="17">
        <v>0.0</v>
      </c>
      <c r="R20" s="17">
        <v>0.0</v>
      </c>
      <c r="S20" s="17">
        <v>0.0</v>
      </c>
      <c r="T20" s="17">
        <v>0.0</v>
      </c>
      <c r="U20" s="17">
        <v>0.0</v>
      </c>
      <c r="V20" s="17">
        <v>1.0</v>
      </c>
      <c r="W20" s="17">
        <v>1.0</v>
      </c>
      <c r="X20" s="17">
        <v>0.0</v>
      </c>
      <c r="Y20" s="17">
        <v>0.0</v>
      </c>
      <c r="Z20" s="17">
        <v>0.0</v>
      </c>
      <c r="AA20" s="17">
        <v>0.0</v>
      </c>
      <c r="AB20" s="20">
        <f t="shared" si="1"/>
        <v>8</v>
      </c>
      <c r="AC20" s="14">
        <f t="shared" si="2"/>
        <v>0.2352941176</v>
      </c>
      <c r="AD20" s="17">
        <v>0.0</v>
      </c>
      <c r="AE20" s="17">
        <v>0.0</v>
      </c>
      <c r="AF20" s="17">
        <v>0.0</v>
      </c>
      <c r="AG20" s="17">
        <v>0.0</v>
      </c>
      <c r="AH20" s="17">
        <v>0.0</v>
      </c>
      <c r="AI20" s="17">
        <v>0.0</v>
      </c>
      <c r="AJ20" s="17">
        <v>0.0</v>
      </c>
      <c r="AK20" s="17">
        <v>0.0</v>
      </c>
      <c r="AL20" s="17">
        <v>0.0</v>
      </c>
      <c r="AM20" s="17">
        <v>0.0</v>
      </c>
      <c r="AN20" s="17">
        <v>0.0</v>
      </c>
      <c r="AO20" s="17">
        <v>0.0</v>
      </c>
      <c r="AP20" s="17">
        <v>0.0</v>
      </c>
      <c r="AQ20" s="17">
        <v>0.0</v>
      </c>
      <c r="AR20" s="17">
        <v>0.0</v>
      </c>
      <c r="AS20" s="20">
        <f t="shared" si="3"/>
        <v>0</v>
      </c>
      <c r="AT20" s="14">
        <f t="shared" si="4"/>
        <v>0</v>
      </c>
      <c r="AU20" s="17">
        <v>0.0</v>
      </c>
      <c r="AV20" s="17">
        <v>0.0</v>
      </c>
      <c r="AW20" s="17">
        <v>0.0</v>
      </c>
      <c r="AX20" s="17">
        <v>0.0</v>
      </c>
      <c r="AY20" s="17">
        <v>0.0</v>
      </c>
      <c r="AZ20" s="17">
        <v>0.0</v>
      </c>
      <c r="BA20" s="17">
        <v>0.0</v>
      </c>
      <c r="BB20" s="17">
        <v>0.0</v>
      </c>
      <c r="BC20" s="17">
        <v>0.0</v>
      </c>
      <c r="BD20" s="17">
        <v>0.0</v>
      </c>
      <c r="BE20" s="17">
        <v>0.0</v>
      </c>
      <c r="BF20" s="17">
        <v>1.0</v>
      </c>
      <c r="BG20" s="17">
        <v>0.0</v>
      </c>
      <c r="BH20" s="17">
        <v>1.0</v>
      </c>
      <c r="BI20" s="17">
        <v>0.0</v>
      </c>
      <c r="BJ20" s="9">
        <f t="shared" si="5"/>
        <v>2</v>
      </c>
      <c r="BK20" s="12">
        <f t="shared" si="6"/>
        <v>0.07142857143</v>
      </c>
      <c r="BL20" s="17">
        <v>0.0</v>
      </c>
      <c r="BM20" s="17">
        <v>1.0</v>
      </c>
      <c r="BN20" s="17">
        <v>0.0</v>
      </c>
      <c r="BO20" s="17">
        <v>0.0</v>
      </c>
      <c r="BP20" s="9">
        <f t="shared" si="7"/>
        <v>1</v>
      </c>
      <c r="BQ20" s="12">
        <f t="shared" si="8"/>
        <v>0.125</v>
      </c>
      <c r="BR20" s="17">
        <v>0.0</v>
      </c>
      <c r="BS20" s="17">
        <v>0.0</v>
      </c>
      <c r="BT20" s="17">
        <v>0.0</v>
      </c>
      <c r="BU20" s="17">
        <v>0.0</v>
      </c>
      <c r="BV20" s="17">
        <v>0.0</v>
      </c>
      <c r="BW20" s="17">
        <v>0.0</v>
      </c>
      <c r="BX20" s="17">
        <v>0.0</v>
      </c>
      <c r="BY20" s="17">
        <v>0.0</v>
      </c>
      <c r="BZ20" s="17">
        <v>0.0</v>
      </c>
      <c r="CA20" s="17">
        <v>1.0</v>
      </c>
      <c r="CB20" s="17">
        <v>0.0</v>
      </c>
      <c r="CC20" s="17">
        <v>0.0</v>
      </c>
      <c r="CD20" s="17">
        <v>1.0</v>
      </c>
      <c r="CE20" s="17">
        <v>0.0</v>
      </c>
      <c r="CF20" s="17">
        <v>0.0</v>
      </c>
      <c r="CG20" s="17">
        <v>0.0</v>
      </c>
      <c r="CH20" s="17">
        <v>0.0</v>
      </c>
      <c r="CI20" s="17">
        <v>0.0</v>
      </c>
      <c r="CJ20" s="17">
        <v>0.0</v>
      </c>
      <c r="CK20" s="17">
        <v>0.0</v>
      </c>
      <c r="CL20" s="17">
        <v>0.0</v>
      </c>
      <c r="CM20" s="17">
        <v>0.0</v>
      </c>
      <c r="CN20" s="17">
        <v>0.0</v>
      </c>
      <c r="CO20" s="17">
        <v>0.0</v>
      </c>
      <c r="CP20" s="21">
        <f t="shared" si="9"/>
        <v>2</v>
      </c>
      <c r="CQ20" s="14">
        <f t="shared" si="10"/>
        <v>0.04166666667</v>
      </c>
      <c r="CR20" s="15">
        <f t="shared" si="11"/>
        <v>13</v>
      </c>
      <c r="CS20" s="14">
        <f t="shared" si="12"/>
        <v>0.08666666667</v>
      </c>
    </row>
    <row r="21" ht="22.5" customHeight="1">
      <c r="A21" s="16">
        <v>46139.55258769676</v>
      </c>
      <c r="B21" s="17" t="s">
        <v>285</v>
      </c>
      <c r="C21" s="18">
        <v>0.0</v>
      </c>
      <c r="D21" s="17" t="s">
        <v>286</v>
      </c>
      <c r="E21" s="17" t="s">
        <v>287</v>
      </c>
      <c r="F21" s="17" t="s">
        <v>288</v>
      </c>
      <c r="G21" s="17" t="s">
        <v>289</v>
      </c>
      <c r="H21" s="17" t="s">
        <v>239</v>
      </c>
      <c r="I21" s="17" t="s">
        <v>251</v>
      </c>
      <c r="J21" s="17" t="s">
        <v>217</v>
      </c>
      <c r="K21" s="17">
        <v>1.0</v>
      </c>
      <c r="L21" s="17">
        <v>1.0</v>
      </c>
      <c r="M21" s="17">
        <v>1.0</v>
      </c>
      <c r="N21" s="17">
        <v>1.0</v>
      </c>
      <c r="O21" s="17">
        <v>1.0</v>
      </c>
      <c r="P21" s="17">
        <v>1.0</v>
      </c>
      <c r="Q21" s="17">
        <v>0.0</v>
      </c>
      <c r="R21" s="17">
        <v>1.0</v>
      </c>
      <c r="S21" s="17">
        <v>0.0</v>
      </c>
      <c r="T21" s="17">
        <v>0.0</v>
      </c>
      <c r="U21" s="17">
        <v>1.0</v>
      </c>
      <c r="V21" s="17">
        <v>1.0</v>
      </c>
      <c r="W21" s="17">
        <v>1.0</v>
      </c>
      <c r="X21" s="17">
        <v>1.0</v>
      </c>
      <c r="Y21" s="17">
        <v>0.0</v>
      </c>
      <c r="Z21" s="17">
        <v>0.0</v>
      </c>
      <c r="AA21" s="17">
        <v>0.0</v>
      </c>
      <c r="AB21" s="20">
        <f t="shared" si="1"/>
        <v>11</v>
      </c>
      <c r="AC21" s="14">
        <f t="shared" si="2"/>
        <v>0.3235294118</v>
      </c>
      <c r="AD21" s="17">
        <v>0.0</v>
      </c>
      <c r="AE21" s="17">
        <v>0.0</v>
      </c>
      <c r="AF21" s="17">
        <v>0.0</v>
      </c>
      <c r="AG21" s="17">
        <v>0.0</v>
      </c>
      <c r="AH21" s="17">
        <v>0.0</v>
      </c>
      <c r="AI21" s="17">
        <v>1.0</v>
      </c>
      <c r="AJ21" s="17">
        <v>1.0</v>
      </c>
      <c r="AK21" s="17">
        <v>0.0</v>
      </c>
      <c r="AL21" s="17">
        <v>0.0</v>
      </c>
      <c r="AM21" s="17">
        <v>1.0</v>
      </c>
      <c r="AN21" s="17">
        <v>0.0</v>
      </c>
      <c r="AO21" s="17">
        <v>0.0</v>
      </c>
      <c r="AP21" s="17">
        <v>1.0</v>
      </c>
      <c r="AQ21" s="17">
        <v>0.0</v>
      </c>
      <c r="AR21" s="17">
        <v>0.0</v>
      </c>
      <c r="AS21" s="20">
        <f t="shared" si="3"/>
        <v>4</v>
      </c>
      <c r="AT21" s="14">
        <f t="shared" si="4"/>
        <v>0.1333333333</v>
      </c>
      <c r="AU21" s="17">
        <v>1.0</v>
      </c>
      <c r="AV21" s="17">
        <v>1.0</v>
      </c>
      <c r="AW21" s="17">
        <v>0.0</v>
      </c>
      <c r="AX21" s="17">
        <v>0.0</v>
      </c>
      <c r="AY21" s="17">
        <v>0.0</v>
      </c>
      <c r="AZ21" s="17">
        <v>0.0</v>
      </c>
      <c r="BA21" s="17">
        <v>0.0</v>
      </c>
      <c r="BB21" s="17">
        <v>0.0</v>
      </c>
      <c r="BC21" s="17">
        <v>0.0</v>
      </c>
      <c r="BD21" s="17">
        <v>0.0</v>
      </c>
      <c r="BE21" s="17">
        <v>0.0</v>
      </c>
      <c r="BF21" s="17">
        <v>1.0</v>
      </c>
      <c r="BG21" s="17">
        <v>0.0</v>
      </c>
      <c r="BH21" s="17">
        <v>1.0</v>
      </c>
      <c r="BI21" s="17">
        <v>0.0</v>
      </c>
      <c r="BJ21" s="9">
        <f t="shared" si="5"/>
        <v>4</v>
      </c>
      <c r="BK21" s="12">
        <f t="shared" si="6"/>
        <v>0.1428571429</v>
      </c>
      <c r="BL21" s="17">
        <v>0.0</v>
      </c>
      <c r="BM21" s="17">
        <v>0.0</v>
      </c>
      <c r="BN21" s="17">
        <v>0.0</v>
      </c>
      <c r="BO21" s="17">
        <v>0.0</v>
      </c>
      <c r="BP21" s="9">
        <f t="shared" si="7"/>
        <v>0</v>
      </c>
      <c r="BQ21" s="12">
        <f t="shared" si="8"/>
        <v>0</v>
      </c>
      <c r="BR21" s="17">
        <v>0.0</v>
      </c>
      <c r="BS21" s="17">
        <v>0.0</v>
      </c>
      <c r="BT21" s="17">
        <v>1.0</v>
      </c>
      <c r="BU21" s="17">
        <v>2.0</v>
      </c>
      <c r="BV21" s="17">
        <v>0.0</v>
      </c>
      <c r="BW21" s="17">
        <v>0.0</v>
      </c>
      <c r="BX21" s="17">
        <v>0.0</v>
      </c>
      <c r="BY21" s="17">
        <v>0.0</v>
      </c>
      <c r="BZ21" s="17">
        <v>0.0</v>
      </c>
      <c r="CA21" s="17">
        <v>0.0</v>
      </c>
      <c r="CB21" s="17">
        <v>0.0</v>
      </c>
      <c r="CC21" s="17">
        <v>1.0</v>
      </c>
      <c r="CD21" s="17">
        <v>1.0</v>
      </c>
      <c r="CE21" s="17">
        <v>0.0</v>
      </c>
      <c r="CF21" s="17">
        <v>0.0</v>
      </c>
      <c r="CG21" s="17">
        <v>1.0</v>
      </c>
      <c r="CH21" s="17">
        <v>0.0</v>
      </c>
      <c r="CI21" s="17">
        <v>0.0</v>
      </c>
      <c r="CJ21" s="17">
        <v>0.0</v>
      </c>
      <c r="CK21" s="17">
        <v>1.0</v>
      </c>
      <c r="CL21" s="17">
        <v>0.0</v>
      </c>
      <c r="CM21" s="17">
        <v>0.0</v>
      </c>
      <c r="CN21" s="17">
        <v>0.0</v>
      </c>
      <c r="CO21" s="17">
        <v>0.0</v>
      </c>
      <c r="CP21" s="21">
        <f t="shared" si="9"/>
        <v>7</v>
      </c>
      <c r="CQ21" s="14">
        <f t="shared" si="10"/>
        <v>0.1458333333</v>
      </c>
      <c r="CR21" s="15">
        <f t="shared" si="11"/>
        <v>26</v>
      </c>
      <c r="CS21" s="14">
        <f t="shared" si="12"/>
        <v>0.1733333333</v>
      </c>
    </row>
    <row r="22" ht="22.5" customHeight="1">
      <c r="A22" s="16">
        <v>46139.55664430556</v>
      </c>
      <c r="B22" s="17" t="s">
        <v>290</v>
      </c>
      <c r="C22" s="18">
        <v>0.0</v>
      </c>
      <c r="D22" s="17" t="s">
        <v>291</v>
      </c>
      <c r="E22" s="17" t="s">
        <v>292</v>
      </c>
      <c r="F22" s="17" t="s">
        <v>293</v>
      </c>
      <c r="G22" s="17" t="s">
        <v>294</v>
      </c>
      <c r="H22" s="17" t="s">
        <v>216</v>
      </c>
      <c r="I22" s="17" t="s">
        <v>194</v>
      </c>
      <c r="J22" s="17" t="s">
        <v>227</v>
      </c>
      <c r="K22" s="17">
        <v>2.0</v>
      </c>
      <c r="L22" s="17">
        <v>2.0</v>
      </c>
      <c r="M22" s="17">
        <v>1.0</v>
      </c>
      <c r="N22" s="17">
        <v>1.0</v>
      </c>
      <c r="O22" s="17">
        <v>2.0</v>
      </c>
      <c r="P22" s="17">
        <v>1.0</v>
      </c>
      <c r="Q22" s="17">
        <v>1.0</v>
      </c>
      <c r="R22" s="17">
        <v>1.0</v>
      </c>
      <c r="S22" s="17">
        <v>1.0</v>
      </c>
      <c r="T22" s="17">
        <v>1.0</v>
      </c>
      <c r="U22" s="17">
        <v>1.0</v>
      </c>
      <c r="V22" s="17">
        <v>1.0</v>
      </c>
      <c r="W22" s="17">
        <v>1.0</v>
      </c>
      <c r="X22" s="17">
        <v>1.0</v>
      </c>
      <c r="Y22" s="17">
        <v>1.0</v>
      </c>
      <c r="Z22" s="17">
        <v>1.0</v>
      </c>
      <c r="AA22" s="17">
        <v>1.0</v>
      </c>
      <c r="AB22" s="20">
        <f t="shared" si="1"/>
        <v>20</v>
      </c>
      <c r="AC22" s="14">
        <f t="shared" si="2"/>
        <v>0.5882352941</v>
      </c>
      <c r="AD22" s="17">
        <v>0.0</v>
      </c>
      <c r="AE22" s="17">
        <v>0.0</v>
      </c>
      <c r="AF22" s="17">
        <v>0.0</v>
      </c>
      <c r="AG22" s="17">
        <v>0.0</v>
      </c>
      <c r="AH22" s="17">
        <v>0.0</v>
      </c>
      <c r="AI22" s="17">
        <v>0.0</v>
      </c>
      <c r="AJ22" s="17">
        <v>0.0</v>
      </c>
      <c r="AK22" s="17">
        <v>0.0</v>
      </c>
      <c r="AL22" s="17">
        <v>0.0</v>
      </c>
      <c r="AM22" s="17">
        <v>0.0</v>
      </c>
      <c r="AN22" s="17">
        <v>0.0</v>
      </c>
      <c r="AO22" s="17">
        <v>0.0</v>
      </c>
      <c r="AP22" s="17">
        <v>0.0</v>
      </c>
      <c r="AQ22" s="17">
        <v>0.0</v>
      </c>
      <c r="AR22" s="17">
        <v>0.0</v>
      </c>
      <c r="AS22" s="20">
        <f t="shared" si="3"/>
        <v>0</v>
      </c>
      <c r="AT22" s="14">
        <f t="shared" si="4"/>
        <v>0</v>
      </c>
      <c r="AU22" s="17">
        <v>1.0</v>
      </c>
      <c r="AV22" s="17">
        <v>1.0</v>
      </c>
      <c r="AW22" s="17">
        <v>2.0</v>
      </c>
      <c r="AX22" s="17">
        <v>1.0</v>
      </c>
      <c r="AY22" s="17">
        <v>1.0</v>
      </c>
      <c r="AZ22" s="17">
        <v>0.0</v>
      </c>
      <c r="BA22" s="17">
        <v>1.0</v>
      </c>
      <c r="BB22" s="17">
        <v>1.0</v>
      </c>
      <c r="BC22" s="17">
        <v>1.0</v>
      </c>
      <c r="BD22" s="17">
        <v>0.0</v>
      </c>
      <c r="BE22" s="17">
        <v>0.0</v>
      </c>
      <c r="BF22" s="17">
        <v>1.0</v>
      </c>
      <c r="BG22" s="17">
        <v>0.0</v>
      </c>
      <c r="BH22" s="17">
        <v>1.0</v>
      </c>
      <c r="BI22" s="17">
        <v>0.0</v>
      </c>
      <c r="BJ22" s="9">
        <f t="shared" si="5"/>
        <v>11</v>
      </c>
      <c r="BK22" s="12">
        <f t="shared" si="6"/>
        <v>0.3928571429</v>
      </c>
      <c r="BL22" s="17">
        <v>0.0</v>
      </c>
      <c r="BM22" s="17">
        <v>2.0</v>
      </c>
      <c r="BN22" s="17">
        <v>1.0</v>
      </c>
      <c r="BO22" s="17">
        <v>1.0</v>
      </c>
      <c r="BP22" s="9">
        <f t="shared" si="7"/>
        <v>4</v>
      </c>
      <c r="BQ22" s="12">
        <f t="shared" si="8"/>
        <v>0.5</v>
      </c>
      <c r="BR22" s="17">
        <v>0.0</v>
      </c>
      <c r="BS22" s="17">
        <v>0.0</v>
      </c>
      <c r="BT22" s="17">
        <v>0.0</v>
      </c>
      <c r="BU22" s="17">
        <v>1.0</v>
      </c>
      <c r="BV22" s="17">
        <v>1.0</v>
      </c>
      <c r="BW22" s="17">
        <v>1.0</v>
      </c>
      <c r="BX22" s="17">
        <v>0.0</v>
      </c>
      <c r="BY22" s="17">
        <v>0.0</v>
      </c>
      <c r="BZ22" s="17">
        <v>0.0</v>
      </c>
      <c r="CA22" s="17">
        <v>0.0</v>
      </c>
      <c r="CB22" s="17">
        <v>1.0</v>
      </c>
      <c r="CC22" s="17">
        <v>1.0</v>
      </c>
      <c r="CD22" s="17">
        <v>1.0</v>
      </c>
      <c r="CE22" s="17">
        <v>0.0</v>
      </c>
      <c r="CF22" s="17">
        <v>0.0</v>
      </c>
      <c r="CG22" s="17">
        <v>0.0</v>
      </c>
      <c r="CH22" s="17">
        <v>0.0</v>
      </c>
      <c r="CI22" s="17">
        <v>0.0</v>
      </c>
      <c r="CJ22" s="17">
        <v>0.0</v>
      </c>
      <c r="CK22" s="17">
        <v>0.0</v>
      </c>
      <c r="CL22" s="17">
        <v>0.0</v>
      </c>
      <c r="CM22" s="17">
        <v>0.0</v>
      </c>
      <c r="CN22" s="17">
        <v>0.0</v>
      </c>
      <c r="CO22" s="17">
        <v>0.0</v>
      </c>
      <c r="CP22" s="21">
        <f t="shared" si="9"/>
        <v>6</v>
      </c>
      <c r="CQ22" s="14">
        <f t="shared" si="10"/>
        <v>0.125</v>
      </c>
      <c r="CR22" s="15">
        <f t="shared" si="11"/>
        <v>41</v>
      </c>
      <c r="CS22" s="14">
        <f t="shared" si="12"/>
        <v>0.2733333333</v>
      </c>
    </row>
    <row r="23" ht="22.5" customHeight="1">
      <c r="A23" s="16">
        <v>46139.57400771991</v>
      </c>
      <c r="B23" s="17" t="s">
        <v>295</v>
      </c>
      <c r="C23" s="18">
        <v>0.0</v>
      </c>
      <c r="D23" s="17" t="s">
        <v>296</v>
      </c>
      <c r="E23" s="17" t="s">
        <v>297</v>
      </c>
      <c r="F23" s="17" t="s">
        <v>208</v>
      </c>
      <c r="G23" s="17" t="s">
        <v>298</v>
      </c>
      <c r="H23" s="17" t="s">
        <v>239</v>
      </c>
      <c r="I23" s="17" t="s">
        <v>194</v>
      </c>
      <c r="J23" s="17" t="s">
        <v>195</v>
      </c>
      <c r="K23" s="17">
        <v>2.0</v>
      </c>
      <c r="L23" s="17">
        <v>2.0</v>
      </c>
      <c r="M23" s="17">
        <v>1.0</v>
      </c>
      <c r="N23" s="17">
        <v>1.0</v>
      </c>
      <c r="O23" s="17">
        <v>0.0</v>
      </c>
      <c r="P23" s="17">
        <v>2.0</v>
      </c>
      <c r="Q23" s="17">
        <v>0.0</v>
      </c>
      <c r="R23" s="17">
        <v>0.0</v>
      </c>
      <c r="S23" s="17">
        <v>0.0</v>
      </c>
      <c r="T23" s="17">
        <v>0.0</v>
      </c>
      <c r="U23" s="17">
        <v>2.0</v>
      </c>
      <c r="V23" s="17">
        <v>1.0</v>
      </c>
      <c r="W23" s="17">
        <v>1.0</v>
      </c>
      <c r="X23" s="17">
        <v>0.0</v>
      </c>
      <c r="Y23" s="17">
        <v>0.0</v>
      </c>
      <c r="Z23" s="17">
        <v>0.0</v>
      </c>
      <c r="AA23" s="17">
        <v>0.0</v>
      </c>
      <c r="AB23" s="20">
        <f t="shared" si="1"/>
        <v>12</v>
      </c>
      <c r="AC23" s="14">
        <f t="shared" si="2"/>
        <v>0.3529411765</v>
      </c>
      <c r="AD23" s="17">
        <v>0.0</v>
      </c>
      <c r="AE23" s="17">
        <v>0.0</v>
      </c>
      <c r="AF23" s="17">
        <v>0.0</v>
      </c>
      <c r="AG23" s="17">
        <v>0.0</v>
      </c>
      <c r="AH23" s="17">
        <v>0.0</v>
      </c>
      <c r="AI23" s="17">
        <v>0.0</v>
      </c>
      <c r="AJ23" s="17">
        <v>0.0</v>
      </c>
      <c r="AK23" s="17">
        <v>0.0</v>
      </c>
      <c r="AL23" s="17">
        <v>0.0</v>
      </c>
      <c r="AM23" s="17">
        <v>0.0</v>
      </c>
      <c r="AN23" s="17">
        <v>0.0</v>
      </c>
      <c r="AO23" s="17">
        <v>0.0</v>
      </c>
      <c r="AP23" s="17">
        <v>0.0</v>
      </c>
      <c r="AQ23" s="17">
        <v>1.0</v>
      </c>
      <c r="AR23" s="17">
        <v>0.0</v>
      </c>
      <c r="AS23" s="20">
        <f t="shared" si="3"/>
        <v>1</v>
      </c>
      <c r="AT23" s="14">
        <f t="shared" si="4"/>
        <v>0.03333333333</v>
      </c>
      <c r="AU23" s="17">
        <v>2.0</v>
      </c>
      <c r="AV23" s="17">
        <v>2.0</v>
      </c>
      <c r="AW23" s="17">
        <v>2.0</v>
      </c>
      <c r="AX23" s="17">
        <v>1.0</v>
      </c>
      <c r="AY23" s="17">
        <v>1.0</v>
      </c>
      <c r="AZ23" s="17">
        <v>0.0</v>
      </c>
      <c r="BA23" s="17">
        <v>1.0</v>
      </c>
      <c r="BB23" s="17">
        <v>0.0</v>
      </c>
      <c r="BC23" s="17">
        <v>0.0</v>
      </c>
      <c r="BD23" s="17">
        <v>0.0</v>
      </c>
      <c r="BE23" s="17">
        <v>0.0</v>
      </c>
      <c r="BF23" s="17">
        <v>2.0</v>
      </c>
      <c r="BG23" s="17">
        <v>0.0</v>
      </c>
      <c r="BH23" s="17">
        <v>1.0</v>
      </c>
      <c r="BI23" s="17">
        <v>0.0</v>
      </c>
      <c r="BJ23" s="9">
        <f t="shared" si="5"/>
        <v>12</v>
      </c>
      <c r="BK23" s="12">
        <f t="shared" si="6"/>
        <v>0.4285714286</v>
      </c>
      <c r="BL23" s="17">
        <v>0.0</v>
      </c>
      <c r="BM23" s="17">
        <v>1.0</v>
      </c>
      <c r="BN23" s="17">
        <v>0.0</v>
      </c>
      <c r="BO23" s="17">
        <v>0.0</v>
      </c>
      <c r="BP23" s="9">
        <f t="shared" si="7"/>
        <v>1</v>
      </c>
      <c r="BQ23" s="12">
        <f t="shared" si="8"/>
        <v>0.125</v>
      </c>
      <c r="BR23" s="17">
        <v>0.0</v>
      </c>
      <c r="BS23" s="17">
        <v>0.0</v>
      </c>
      <c r="BT23" s="17">
        <v>0.0</v>
      </c>
      <c r="BU23" s="17">
        <v>0.0</v>
      </c>
      <c r="BV23" s="17">
        <v>1.0</v>
      </c>
      <c r="BW23" s="17">
        <v>1.0</v>
      </c>
      <c r="BX23" s="17">
        <v>0.0</v>
      </c>
      <c r="BY23" s="17">
        <v>0.0</v>
      </c>
      <c r="BZ23" s="17">
        <v>0.0</v>
      </c>
      <c r="CA23" s="17">
        <v>0.0</v>
      </c>
      <c r="CB23" s="17">
        <v>2.0</v>
      </c>
      <c r="CC23" s="17">
        <v>1.0</v>
      </c>
      <c r="CD23" s="17">
        <v>1.0</v>
      </c>
      <c r="CE23" s="17">
        <v>0.0</v>
      </c>
      <c r="CF23" s="17">
        <v>1.0</v>
      </c>
      <c r="CG23" s="17">
        <v>0.0</v>
      </c>
      <c r="CH23" s="17">
        <v>0.0</v>
      </c>
      <c r="CI23" s="17">
        <v>0.0</v>
      </c>
      <c r="CJ23" s="17">
        <v>0.0</v>
      </c>
      <c r="CK23" s="17">
        <v>0.0</v>
      </c>
      <c r="CL23" s="17">
        <v>0.0</v>
      </c>
      <c r="CM23" s="17">
        <v>0.0</v>
      </c>
      <c r="CN23" s="17">
        <v>0.0</v>
      </c>
      <c r="CO23" s="17">
        <v>0.0</v>
      </c>
      <c r="CP23" s="21">
        <f t="shared" si="9"/>
        <v>7</v>
      </c>
      <c r="CQ23" s="14">
        <f t="shared" si="10"/>
        <v>0.1458333333</v>
      </c>
      <c r="CR23" s="15">
        <f t="shared" si="11"/>
        <v>33</v>
      </c>
      <c r="CS23" s="14">
        <f t="shared" si="12"/>
        <v>0.22</v>
      </c>
    </row>
    <row r="24" ht="22.5" customHeight="1">
      <c r="A24" s="16">
        <v>46139.577179479165</v>
      </c>
      <c r="B24" s="17" t="s">
        <v>299</v>
      </c>
      <c r="C24" s="18">
        <v>0.0</v>
      </c>
      <c r="D24" s="17" t="s">
        <v>300</v>
      </c>
      <c r="E24" s="17" t="s">
        <v>301</v>
      </c>
      <c r="F24" s="17" t="s">
        <v>302</v>
      </c>
      <c r="G24" s="17" t="s">
        <v>303</v>
      </c>
      <c r="H24" s="17" t="s">
        <v>239</v>
      </c>
      <c r="I24" s="17" t="s">
        <v>251</v>
      </c>
      <c r="J24" s="17" t="s">
        <v>304</v>
      </c>
      <c r="K24" s="17">
        <v>1.0</v>
      </c>
      <c r="L24" s="17">
        <v>1.0</v>
      </c>
      <c r="M24" s="17">
        <v>1.0</v>
      </c>
      <c r="N24" s="17">
        <v>0.0</v>
      </c>
      <c r="O24" s="17">
        <v>0.0</v>
      </c>
      <c r="P24" s="17">
        <v>0.0</v>
      </c>
      <c r="Q24" s="17">
        <v>0.0</v>
      </c>
      <c r="R24" s="17">
        <v>1.0</v>
      </c>
      <c r="S24" s="17">
        <v>1.0</v>
      </c>
      <c r="T24" s="17">
        <v>0.0</v>
      </c>
      <c r="U24" s="17">
        <v>1.0</v>
      </c>
      <c r="V24" s="17">
        <v>0.0</v>
      </c>
      <c r="W24" s="17">
        <v>1.0</v>
      </c>
      <c r="X24" s="17">
        <v>0.0</v>
      </c>
      <c r="Y24" s="17">
        <v>0.0</v>
      </c>
      <c r="Z24" s="17">
        <v>0.0</v>
      </c>
      <c r="AA24" s="17">
        <v>0.0</v>
      </c>
      <c r="AB24" s="20">
        <f t="shared" si="1"/>
        <v>7</v>
      </c>
      <c r="AC24" s="14">
        <f t="shared" si="2"/>
        <v>0.2058823529</v>
      </c>
      <c r="AD24" s="17">
        <v>0.0</v>
      </c>
      <c r="AE24" s="17">
        <v>0.0</v>
      </c>
      <c r="AF24" s="17">
        <v>0.0</v>
      </c>
      <c r="AG24" s="17">
        <v>0.0</v>
      </c>
      <c r="AH24" s="17">
        <v>0.0</v>
      </c>
      <c r="AI24" s="17">
        <v>0.0</v>
      </c>
      <c r="AJ24" s="17">
        <v>1.0</v>
      </c>
      <c r="AK24" s="17">
        <v>0.0</v>
      </c>
      <c r="AL24" s="17">
        <v>0.0</v>
      </c>
      <c r="AM24" s="17">
        <v>0.0</v>
      </c>
      <c r="AN24" s="17">
        <v>0.0</v>
      </c>
      <c r="AO24" s="17">
        <v>0.0</v>
      </c>
      <c r="AP24" s="17">
        <v>1.0</v>
      </c>
      <c r="AQ24" s="17">
        <v>0.0</v>
      </c>
      <c r="AR24" s="17">
        <v>0.0</v>
      </c>
      <c r="AS24" s="20">
        <f t="shared" si="3"/>
        <v>2</v>
      </c>
      <c r="AT24" s="14">
        <f t="shared" si="4"/>
        <v>0.06666666667</v>
      </c>
      <c r="AU24" s="17">
        <v>1.0</v>
      </c>
      <c r="AV24" s="17">
        <v>0.0</v>
      </c>
      <c r="AW24" s="17">
        <v>1.0</v>
      </c>
      <c r="AX24" s="17">
        <v>0.0</v>
      </c>
      <c r="AY24" s="17">
        <v>0.0</v>
      </c>
      <c r="AZ24" s="17">
        <v>0.0</v>
      </c>
      <c r="BA24" s="17">
        <v>2.0</v>
      </c>
      <c r="BB24" s="17">
        <v>0.0</v>
      </c>
      <c r="BC24" s="17">
        <v>2.0</v>
      </c>
      <c r="BD24" s="17">
        <v>0.0</v>
      </c>
      <c r="BE24" s="17">
        <v>1.0</v>
      </c>
      <c r="BF24" s="17">
        <v>1.0</v>
      </c>
      <c r="BG24" s="17">
        <v>0.0</v>
      </c>
      <c r="BH24" s="17">
        <v>1.0</v>
      </c>
      <c r="BI24" s="17">
        <v>0.0</v>
      </c>
      <c r="BJ24" s="9">
        <f t="shared" si="5"/>
        <v>9</v>
      </c>
      <c r="BK24" s="12">
        <f t="shared" si="6"/>
        <v>0.3214285714</v>
      </c>
      <c r="BL24" s="17">
        <v>1.0</v>
      </c>
      <c r="BM24" s="17">
        <v>0.0</v>
      </c>
      <c r="BN24" s="17">
        <v>0.0</v>
      </c>
      <c r="BO24" s="17">
        <v>0.0</v>
      </c>
      <c r="BP24" s="9">
        <f t="shared" si="7"/>
        <v>1</v>
      </c>
      <c r="BQ24" s="12">
        <f t="shared" si="8"/>
        <v>0.125</v>
      </c>
      <c r="BR24" s="17">
        <v>0.0</v>
      </c>
      <c r="BS24" s="17">
        <v>0.0</v>
      </c>
      <c r="BT24" s="17">
        <v>0.0</v>
      </c>
      <c r="BU24" s="17">
        <v>0.0</v>
      </c>
      <c r="BV24" s="17">
        <v>1.0</v>
      </c>
      <c r="BW24" s="17">
        <v>2.0</v>
      </c>
      <c r="BX24" s="17">
        <v>0.0</v>
      </c>
      <c r="BY24" s="17">
        <v>0.0</v>
      </c>
      <c r="BZ24" s="17">
        <v>0.0</v>
      </c>
      <c r="CA24" s="17">
        <v>0.0</v>
      </c>
      <c r="CB24" s="17">
        <v>1.0</v>
      </c>
      <c r="CC24" s="17">
        <v>1.0</v>
      </c>
      <c r="CD24" s="17">
        <v>1.0</v>
      </c>
      <c r="CE24" s="17">
        <v>0.0</v>
      </c>
      <c r="CF24" s="17">
        <v>0.0</v>
      </c>
      <c r="CG24" s="17">
        <v>1.0</v>
      </c>
      <c r="CH24" s="17">
        <v>0.0</v>
      </c>
      <c r="CI24" s="17">
        <v>0.0</v>
      </c>
      <c r="CJ24" s="17">
        <v>0.0</v>
      </c>
      <c r="CK24" s="17">
        <v>0.0</v>
      </c>
      <c r="CL24" s="17">
        <v>0.0</v>
      </c>
      <c r="CM24" s="17">
        <v>0.0</v>
      </c>
      <c r="CN24" s="17">
        <v>0.0</v>
      </c>
      <c r="CO24" s="17">
        <v>0.0</v>
      </c>
      <c r="CP24" s="21">
        <f t="shared" si="9"/>
        <v>7</v>
      </c>
      <c r="CQ24" s="14">
        <f t="shared" si="10"/>
        <v>0.1458333333</v>
      </c>
      <c r="CR24" s="15">
        <f t="shared" si="11"/>
        <v>26</v>
      </c>
      <c r="CS24" s="14">
        <f t="shared" si="12"/>
        <v>0.1733333333</v>
      </c>
    </row>
    <row r="25" ht="22.5" customHeight="1">
      <c r="A25" s="16">
        <v>46139.58468296296</v>
      </c>
      <c r="B25" s="17" t="s">
        <v>305</v>
      </c>
      <c r="C25" s="18">
        <v>0.0</v>
      </c>
      <c r="D25" s="17" t="s">
        <v>306</v>
      </c>
      <c r="E25" s="19" t="s">
        <v>307</v>
      </c>
      <c r="F25" s="17" t="s">
        <v>308</v>
      </c>
      <c r="G25" s="17" t="s">
        <v>309</v>
      </c>
      <c r="H25" s="17" t="s">
        <v>216</v>
      </c>
      <c r="I25" s="17" t="s">
        <v>194</v>
      </c>
      <c r="J25" s="17" t="s">
        <v>252</v>
      </c>
      <c r="K25" s="17">
        <v>0.0</v>
      </c>
      <c r="L25" s="17">
        <v>0.0</v>
      </c>
      <c r="M25" s="17">
        <v>0.0</v>
      </c>
      <c r="N25" s="17">
        <v>2.0</v>
      </c>
      <c r="O25" s="17">
        <v>2.0</v>
      </c>
      <c r="P25" s="17">
        <v>2.0</v>
      </c>
      <c r="Q25" s="17">
        <v>2.0</v>
      </c>
      <c r="R25" s="17">
        <v>2.0</v>
      </c>
      <c r="S25" s="17">
        <v>2.0</v>
      </c>
      <c r="T25" s="17">
        <v>1.0</v>
      </c>
      <c r="U25" s="17">
        <v>1.0</v>
      </c>
      <c r="V25" s="17">
        <v>1.0</v>
      </c>
      <c r="W25" s="17">
        <v>1.0</v>
      </c>
      <c r="X25" s="17">
        <v>1.0</v>
      </c>
      <c r="Y25" s="17">
        <v>0.0</v>
      </c>
      <c r="Z25" s="17">
        <v>0.0</v>
      </c>
      <c r="AA25" s="17">
        <v>0.0</v>
      </c>
      <c r="AB25" s="20">
        <f t="shared" si="1"/>
        <v>17</v>
      </c>
      <c r="AC25" s="14">
        <f t="shared" si="2"/>
        <v>0.5</v>
      </c>
      <c r="AD25" s="17">
        <v>1.0</v>
      </c>
      <c r="AE25" s="17">
        <v>1.0</v>
      </c>
      <c r="AF25" s="17">
        <v>1.0</v>
      </c>
      <c r="AG25" s="17">
        <v>1.0</v>
      </c>
      <c r="AH25" s="17">
        <v>1.0</v>
      </c>
      <c r="AI25" s="17">
        <v>1.0</v>
      </c>
      <c r="AJ25" s="17">
        <v>1.0</v>
      </c>
      <c r="AK25" s="17">
        <v>1.0</v>
      </c>
      <c r="AL25" s="17">
        <v>0.0</v>
      </c>
      <c r="AM25" s="17">
        <v>1.0</v>
      </c>
      <c r="AN25" s="17">
        <v>1.0</v>
      </c>
      <c r="AO25" s="17">
        <v>2.0</v>
      </c>
      <c r="AP25" s="17">
        <v>1.0</v>
      </c>
      <c r="AQ25" s="17">
        <v>0.0</v>
      </c>
      <c r="AR25" s="17">
        <v>1.0</v>
      </c>
      <c r="AS25" s="20">
        <f t="shared" si="3"/>
        <v>14</v>
      </c>
      <c r="AT25" s="14">
        <f t="shared" si="4"/>
        <v>0.4666666667</v>
      </c>
      <c r="AU25" s="17">
        <v>2.0</v>
      </c>
      <c r="AV25" s="17">
        <v>2.0</v>
      </c>
      <c r="AW25" s="17">
        <v>1.0</v>
      </c>
      <c r="AX25" s="17">
        <v>1.0</v>
      </c>
      <c r="AY25" s="17">
        <v>0.0</v>
      </c>
      <c r="AZ25" s="17">
        <v>0.0</v>
      </c>
      <c r="BA25" s="17">
        <v>2.0</v>
      </c>
      <c r="BB25" s="17">
        <v>2.0</v>
      </c>
      <c r="BC25" s="17">
        <v>1.0</v>
      </c>
      <c r="BD25" s="17">
        <v>0.0</v>
      </c>
      <c r="BE25" s="17">
        <v>0.0</v>
      </c>
      <c r="BF25" s="17">
        <v>2.0</v>
      </c>
      <c r="BG25" s="17">
        <v>0.0</v>
      </c>
      <c r="BH25" s="17">
        <v>1.0</v>
      </c>
      <c r="BI25" s="17">
        <v>0.0</v>
      </c>
      <c r="BJ25" s="20">
        <f t="shared" si="5"/>
        <v>14</v>
      </c>
      <c r="BK25" s="12">
        <f t="shared" si="6"/>
        <v>0.5</v>
      </c>
      <c r="BL25" s="17">
        <v>2.0</v>
      </c>
      <c r="BM25" s="17">
        <v>1.0</v>
      </c>
      <c r="BN25" s="17">
        <v>1.0</v>
      </c>
      <c r="BO25" s="17">
        <v>1.0</v>
      </c>
      <c r="BP25" s="20">
        <f t="shared" si="7"/>
        <v>5</v>
      </c>
      <c r="BQ25" s="12">
        <f t="shared" si="8"/>
        <v>0.625</v>
      </c>
      <c r="BR25" s="17">
        <v>1.0</v>
      </c>
      <c r="BS25" s="17">
        <v>1.0</v>
      </c>
      <c r="BT25" s="17">
        <v>1.0</v>
      </c>
      <c r="BU25" s="17">
        <v>2.0</v>
      </c>
      <c r="BV25" s="17">
        <v>1.0</v>
      </c>
      <c r="BW25" s="17">
        <v>1.0</v>
      </c>
      <c r="BX25" s="17">
        <v>0.0</v>
      </c>
      <c r="BY25" s="17">
        <v>1.0</v>
      </c>
      <c r="BZ25" s="17">
        <v>2.0</v>
      </c>
      <c r="CA25" s="17">
        <v>2.0</v>
      </c>
      <c r="CB25" s="17">
        <v>1.0</v>
      </c>
      <c r="CC25" s="17">
        <v>0.0</v>
      </c>
      <c r="CD25" s="17">
        <v>2.0</v>
      </c>
      <c r="CE25" s="17">
        <v>0.0</v>
      </c>
      <c r="CF25" s="17">
        <v>0.0</v>
      </c>
      <c r="CG25" s="17">
        <v>1.0</v>
      </c>
      <c r="CH25" s="17">
        <v>2.0</v>
      </c>
      <c r="CI25" s="17">
        <v>2.0</v>
      </c>
      <c r="CJ25" s="17">
        <v>1.0</v>
      </c>
      <c r="CK25" s="17">
        <v>2.0</v>
      </c>
      <c r="CL25" s="17">
        <v>1.0</v>
      </c>
      <c r="CM25" s="17">
        <v>1.0</v>
      </c>
      <c r="CN25" s="17">
        <v>1.0</v>
      </c>
      <c r="CO25" s="17">
        <v>1.0</v>
      </c>
      <c r="CP25" s="21">
        <f t="shared" si="9"/>
        <v>27</v>
      </c>
      <c r="CQ25" s="14">
        <f t="shared" si="10"/>
        <v>0.5625</v>
      </c>
      <c r="CR25" s="15">
        <f t="shared" si="11"/>
        <v>77</v>
      </c>
      <c r="CS25" s="14">
        <f t="shared" si="12"/>
        <v>0.5133333333</v>
      </c>
    </row>
    <row r="26" ht="22.5" customHeight="1">
      <c r="A26" s="16">
        <v>46139.589517835644</v>
      </c>
      <c r="B26" s="17" t="s">
        <v>310</v>
      </c>
      <c r="C26" s="18">
        <v>0.0</v>
      </c>
      <c r="D26" s="17" t="s">
        <v>311</v>
      </c>
      <c r="E26" s="19" t="s">
        <v>312</v>
      </c>
      <c r="F26" s="17" t="s">
        <v>313</v>
      </c>
      <c r="G26" s="17" t="s">
        <v>314</v>
      </c>
      <c r="H26" s="17" t="s">
        <v>193</v>
      </c>
      <c r="I26" s="17" t="s">
        <v>226</v>
      </c>
      <c r="J26" s="17" t="s">
        <v>195</v>
      </c>
      <c r="K26" s="17">
        <v>2.0</v>
      </c>
      <c r="L26" s="17">
        <v>2.0</v>
      </c>
      <c r="M26" s="17">
        <v>2.0</v>
      </c>
      <c r="N26" s="17">
        <v>2.0</v>
      </c>
      <c r="O26" s="17">
        <v>2.0</v>
      </c>
      <c r="P26" s="17">
        <v>2.0</v>
      </c>
      <c r="Q26" s="17">
        <v>2.0</v>
      </c>
      <c r="R26" s="17">
        <v>2.0</v>
      </c>
      <c r="S26" s="17">
        <v>2.0</v>
      </c>
      <c r="T26" s="17">
        <v>2.0</v>
      </c>
      <c r="U26" s="17">
        <v>2.0</v>
      </c>
      <c r="V26" s="17">
        <v>2.0</v>
      </c>
      <c r="W26" s="17">
        <v>2.0</v>
      </c>
      <c r="X26" s="17">
        <v>1.0</v>
      </c>
      <c r="Y26" s="17">
        <v>1.0</v>
      </c>
      <c r="Z26" s="17">
        <v>2.0</v>
      </c>
      <c r="AA26" s="17">
        <v>2.0</v>
      </c>
      <c r="AB26" s="20">
        <f t="shared" si="1"/>
        <v>32</v>
      </c>
      <c r="AC26" s="14">
        <f t="shared" si="2"/>
        <v>0.9411764706</v>
      </c>
      <c r="AD26" s="17">
        <v>2.0</v>
      </c>
      <c r="AE26" s="17">
        <v>2.0</v>
      </c>
      <c r="AF26" s="17">
        <v>2.0</v>
      </c>
      <c r="AG26" s="17">
        <v>2.0</v>
      </c>
      <c r="AH26" s="17">
        <v>2.0</v>
      </c>
      <c r="AI26" s="17">
        <v>2.0</v>
      </c>
      <c r="AJ26" s="17">
        <v>2.0</v>
      </c>
      <c r="AK26" s="17">
        <v>2.0</v>
      </c>
      <c r="AL26" s="17">
        <v>2.0</v>
      </c>
      <c r="AM26" s="17">
        <v>2.0</v>
      </c>
      <c r="AN26" s="17">
        <v>2.0</v>
      </c>
      <c r="AO26" s="17">
        <v>2.0</v>
      </c>
      <c r="AP26" s="17">
        <v>2.0</v>
      </c>
      <c r="AQ26" s="17">
        <v>2.0</v>
      </c>
      <c r="AR26" s="17">
        <v>2.0</v>
      </c>
      <c r="AS26" s="20">
        <f t="shared" si="3"/>
        <v>30</v>
      </c>
      <c r="AT26" s="14">
        <f t="shared" si="4"/>
        <v>1</v>
      </c>
      <c r="AU26" s="17">
        <v>2.0</v>
      </c>
      <c r="AV26" s="17">
        <v>2.0</v>
      </c>
      <c r="AW26" s="17">
        <v>2.0</v>
      </c>
      <c r="AX26" s="17">
        <v>2.0</v>
      </c>
      <c r="AY26" s="17">
        <v>2.0</v>
      </c>
      <c r="AZ26" s="17">
        <v>2.0</v>
      </c>
      <c r="BA26" s="17">
        <v>2.0</v>
      </c>
      <c r="BB26" s="17">
        <v>2.0</v>
      </c>
      <c r="BC26" s="17">
        <v>2.0</v>
      </c>
      <c r="BD26" s="17">
        <v>1.0</v>
      </c>
      <c r="BE26" s="17">
        <v>1.0</v>
      </c>
      <c r="BF26" s="17">
        <v>2.0</v>
      </c>
      <c r="BG26" s="17">
        <v>2.0</v>
      </c>
      <c r="BH26" s="17">
        <v>2.0</v>
      </c>
      <c r="BI26" s="17">
        <v>2.0</v>
      </c>
      <c r="BJ26" s="20">
        <f t="shared" si="5"/>
        <v>28</v>
      </c>
      <c r="BK26" s="12">
        <f t="shared" si="6"/>
        <v>1</v>
      </c>
      <c r="BL26" s="17">
        <v>2.0</v>
      </c>
      <c r="BM26" s="17">
        <v>2.0</v>
      </c>
      <c r="BN26" s="17">
        <v>0.0</v>
      </c>
      <c r="BO26" s="17">
        <v>2.0</v>
      </c>
      <c r="BP26" s="20">
        <f t="shared" si="7"/>
        <v>6</v>
      </c>
      <c r="BQ26" s="12">
        <f t="shared" si="8"/>
        <v>0.75</v>
      </c>
      <c r="BR26" s="17">
        <v>2.0</v>
      </c>
      <c r="BS26" s="17">
        <v>2.0</v>
      </c>
      <c r="BT26" s="17">
        <v>2.0</v>
      </c>
      <c r="BU26" s="17">
        <v>2.0</v>
      </c>
      <c r="BV26" s="17">
        <v>2.0</v>
      </c>
      <c r="BW26" s="17">
        <v>2.0</v>
      </c>
      <c r="BX26" s="17">
        <v>0.0</v>
      </c>
      <c r="BY26" s="17">
        <v>0.0</v>
      </c>
      <c r="BZ26" s="17">
        <v>0.0</v>
      </c>
      <c r="CA26" s="17">
        <v>2.0</v>
      </c>
      <c r="CB26" s="17">
        <v>2.0</v>
      </c>
      <c r="CC26" s="17">
        <v>2.0</v>
      </c>
      <c r="CD26" s="17">
        <v>2.0</v>
      </c>
      <c r="CE26" s="17">
        <v>2.0</v>
      </c>
      <c r="CF26" s="17">
        <v>2.0</v>
      </c>
      <c r="CG26" s="17">
        <v>1.0</v>
      </c>
      <c r="CH26" s="17">
        <v>0.0</v>
      </c>
      <c r="CI26" s="17">
        <v>2.0</v>
      </c>
      <c r="CJ26" s="17">
        <v>2.0</v>
      </c>
      <c r="CK26" s="17">
        <v>2.0</v>
      </c>
      <c r="CL26" s="17">
        <v>0.0</v>
      </c>
      <c r="CM26" s="17">
        <v>1.0</v>
      </c>
      <c r="CN26" s="17">
        <v>2.0</v>
      </c>
      <c r="CO26" s="17">
        <v>2.0</v>
      </c>
      <c r="CP26" s="21">
        <f t="shared" si="9"/>
        <v>36</v>
      </c>
      <c r="CQ26" s="14">
        <f t="shared" si="10"/>
        <v>0.75</v>
      </c>
      <c r="CR26" s="15">
        <f t="shared" si="11"/>
        <v>132</v>
      </c>
      <c r="CS26" s="14">
        <f t="shared" si="12"/>
        <v>0.88</v>
      </c>
    </row>
    <row r="27" ht="22.5" customHeight="1">
      <c r="A27" s="16">
        <v>46139.59409454861</v>
      </c>
      <c r="B27" s="17" t="s">
        <v>315</v>
      </c>
      <c r="C27" s="18">
        <v>0.0</v>
      </c>
      <c r="D27" s="17" t="s">
        <v>316</v>
      </c>
      <c r="E27" s="19" t="s">
        <v>317</v>
      </c>
      <c r="F27" s="17" t="s">
        <v>318</v>
      </c>
      <c r="G27" s="17" t="s">
        <v>319</v>
      </c>
      <c r="H27" s="17" t="s">
        <v>273</v>
      </c>
      <c r="I27" s="17" t="s">
        <v>194</v>
      </c>
      <c r="J27" s="17" t="s">
        <v>195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  <c r="S27" s="17">
        <v>0.0</v>
      </c>
      <c r="T27" s="17">
        <v>0.0</v>
      </c>
      <c r="U27" s="17">
        <v>1.0</v>
      </c>
      <c r="V27" s="17">
        <v>0.0</v>
      </c>
      <c r="W27" s="17">
        <v>1.0</v>
      </c>
      <c r="X27" s="17">
        <v>0.0</v>
      </c>
      <c r="Y27" s="17">
        <v>0.0</v>
      </c>
      <c r="Z27" s="17">
        <v>0.0</v>
      </c>
      <c r="AA27" s="17">
        <v>0.0</v>
      </c>
      <c r="AB27" s="20">
        <f t="shared" si="1"/>
        <v>2</v>
      </c>
      <c r="AC27" s="14">
        <f t="shared" si="2"/>
        <v>0.05882352941</v>
      </c>
      <c r="AD27" s="17">
        <v>0.0</v>
      </c>
      <c r="AE27" s="17">
        <v>0.0</v>
      </c>
      <c r="AF27" s="17">
        <v>0.0</v>
      </c>
      <c r="AG27" s="17">
        <v>0.0</v>
      </c>
      <c r="AH27" s="17">
        <v>0.0</v>
      </c>
      <c r="AI27" s="17">
        <v>0.0</v>
      </c>
      <c r="AJ27" s="17">
        <v>0.0</v>
      </c>
      <c r="AK27" s="17">
        <v>0.0</v>
      </c>
      <c r="AL27" s="17">
        <v>0.0</v>
      </c>
      <c r="AM27" s="17">
        <v>0.0</v>
      </c>
      <c r="AN27" s="17">
        <v>0.0</v>
      </c>
      <c r="AO27" s="17">
        <v>0.0</v>
      </c>
      <c r="AP27" s="17">
        <v>0.0</v>
      </c>
      <c r="AQ27" s="17">
        <v>0.0</v>
      </c>
      <c r="AR27" s="17">
        <v>0.0</v>
      </c>
      <c r="AS27" s="20">
        <f t="shared" si="3"/>
        <v>0</v>
      </c>
      <c r="AT27" s="14">
        <f t="shared" si="4"/>
        <v>0</v>
      </c>
      <c r="AU27" s="17">
        <v>1.0</v>
      </c>
      <c r="AV27" s="17">
        <v>1.0</v>
      </c>
      <c r="AW27" s="17">
        <v>2.0</v>
      </c>
      <c r="AX27" s="17">
        <v>1.0</v>
      </c>
      <c r="AY27" s="17">
        <v>1.0</v>
      </c>
      <c r="AZ27" s="17">
        <v>0.0</v>
      </c>
      <c r="BA27" s="17">
        <v>1.0</v>
      </c>
      <c r="BB27" s="17">
        <v>1.0</v>
      </c>
      <c r="BC27" s="17">
        <v>1.0</v>
      </c>
      <c r="BD27" s="17">
        <v>2.0</v>
      </c>
      <c r="BE27" s="17">
        <v>2.0</v>
      </c>
      <c r="BF27" s="17">
        <v>1.0</v>
      </c>
      <c r="BG27" s="17">
        <v>0.0</v>
      </c>
      <c r="BH27" s="17">
        <v>2.0</v>
      </c>
      <c r="BI27" s="17">
        <v>1.0</v>
      </c>
      <c r="BJ27" s="20">
        <f t="shared" si="5"/>
        <v>17</v>
      </c>
      <c r="BK27" s="12">
        <f t="shared" si="6"/>
        <v>0.6071428571</v>
      </c>
      <c r="BL27" s="17">
        <v>0.0</v>
      </c>
      <c r="BM27" s="17">
        <v>0.0</v>
      </c>
      <c r="BN27" s="17">
        <v>0.0</v>
      </c>
      <c r="BO27" s="17">
        <v>1.0</v>
      </c>
      <c r="BP27" s="20">
        <f t="shared" si="7"/>
        <v>1</v>
      </c>
      <c r="BQ27" s="12">
        <f t="shared" si="8"/>
        <v>0.125</v>
      </c>
      <c r="BR27" s="17">
        <v>0.0</v>
      </c>
      <c r="BS27" s="17">
        <v>0.0</v>
      </c>
      <c r="BT27" s="17">
        <v>0.0</v>
      </c>
      <c r="BU27" s="17">
        <v>1.0</v>
      </c>
      <c r="BV27" s="17">
        <v>1.0</v>
      </c>
      <c r="BW27" s="17">
        <v>2.0</v>
      </c>
      <c r="BX27" s="17">
        <v>0.0</v>
      </c>
      <c r="BY27" s="17">
        <v>1.0</v>
      </c>
      <c r="BZ27" s="17">
        <v>1.0</v>
      </c>
      <c r="CA27" s="17">
        <v>1.0</v>
      </c>
      <c r="CB27" s="17">
        <v>1.0</v>
      </c>
      <c r="CC27" s="17">
        <v>1.0</v>
      </c>
      <c r="CD27" s="17">
        <v>1.0</v>
      </c>
      <c r="CE27" s="17">
        <v>1.0</v>
      </c>
      <c r="CF27" s="17">
        <v>0.0</v>
      </c>
      <c r="CG27" s="17">
        <v>2.0</v>
      </c>
      <c r="CH27" s="17">
        <v>1.0</v>
      </c>
      <c r="CI27" s="17">
        <v>2.0</v>
      </c>
      <c r="CJ27" s="17">
        <v>2.0</v>
      </c>
      <c r="CK27" s="17">
        <v>1.0</v>
      </c>
      <c r="CL27" s="17">
        <v>0.0</v>
      </c>
      <c r="CM27" s="17">
        <v>0.0</v>
      </c>
      <c r="CN27" s="17">
        <v>1.0</v>
      </c>
      <c r="CO27" s="17">
        <v>0.0</v>
      </c>
      <c r="CP27" s="21">
        <f t="shared" si="9"/>
        <v>20</v>
      </c>
      <c r="CQ27" s="14">
        <f t="shared" si="10"/>
        <v>0.4166666667</v>
      </c>
      <c r="CR27" s="15">
        <f t="shared" si="11"/>
        <v>40</v>
      </c>
      <c r="CS27" s="14">
        <f t="shared" si="12"/>
        <v>0.2666666667</v>
      </c>
    </row>
    <row r="28" ht="22.5" customHeight="1">
      <c r="A28" s="16">
        <v>46139.59524253472</v>
      </c>
      <c r="B28" s="17" t="s">
        <v>320</v>
      </c>
      <c r="C28" s="18">
        <v>0.0</v>
      </c>
      <c r="D28" s="17" t="s">
        <v>321</v>
      </c>
      <c r="E28" s="19" t="s">
        <v>322</v>
      </c>
      <c r="F28" s="17" t="s">
        <v>323</v>
      </c>
      <c r="G28" s="17" t="s">
        <v>324</v>
      </c>
      <c r="H28" s="17" t="s">
        <v>250</v>
      </c>
      <c r="I28" s="17" t="s">
        <v>226</v>
      </c>
      <c r="J28" s="17" t="s">
        <v>217</v>
      </c>
      <c r="K28" s="17">
        <v>1.0</v>
      </c>
      <c r="L28" s="17">
        <v>1.0</v>
      </c>
      <c r="M28" s="17">
        <v>1.0</v>
      </c>
      <c r="N28" s="17">
        <v>1.0</v>
      </c>
      <c r="O28" s="17">
        <v>1.0</v>
      </c>
      <c r="P28" s="17">
        <v>0.0</v>
      </c>
      <c r="Q28" s="17">
        <v>0.0</v>
      </c>
      <c r="R28" s="17">
        <v>1.0</v>
      </c>
      <c r="S28" s="17">
        <v>1.0</v>
      </c>
      <c r="T28" s="17">
        <v>0.0</v>
      </c>
      <c r="U28" s="17">
        <v>1.0</v>
      </c>
      <c r="V28" s="17">
        <v>1.0</v>
      </c>
      <c r="W28" s="17">
        <v>1.0</v>
      </c>
      <c r="X28" s="17">
        <v>1.0</v>
      </c>
      <c r="Y28" s="17">
        <v>0.0</v>
      </c>
      <c r="Z28" s="17">
        <v>0.0</v>
      </c>
      <c r="AA28" s="17">
        <v>0.0</v>
      </c>
      <c r="AB28" s="20">
        <f t="shared" si="1"/>
        <v>11</v>
      </c>
      <c r="AC28" s="14">
        <f t="shared" si="2"/>
        <v>0.3235294118</v>
      </c>
      <c r="AD28" s="17">
        <v>0.0</v>
      </c>
      <c r="AE28" s="17">
        <v>0.0</v>
      </c>
      <c r="AF28" s="17">
        <v>0.0</v>
      </c>
      <c r="AG28" s="17">
        <v>0.0</v>
      </c>
      <c r="AH28" s="17">
        <v>0.0</v>
      </c>
      <c r="AI28" s="17">
        <v>0.0</v>
      </c>
      <c r="AJ28" s="17">
        <v>2.0</v>
      </c>
      <c r="AK28" s="17">
        <v>0.0</v>
      </c>
      <c r="AL28" s="17">
        <v>0.0</v>
      </c>
      <c r="AM28" s="17">
        <v>0.0</v>
      </c>
      <c r="AN28" s="17">
        <v>1.0</v>
      </c>
      <c r="AO28" s="17">
        <v>0.0</v>
      </c>
      <c r="AP28" s="17">
        <v>0.0</v>
      </c>
      <c r="AQ28" s="17">
        <v>0.0</v>
      </c>
      <c r="AR28" s="17">
        <v>0.0</v>
      </c>
      <c r="AS28" s="20">
        <f t="shared" si="3"/>
        <v>3</v>
      </c>
      <c r="AT28" s="14">
        <f t="shared" si="4"/>
        <v>0.1</v>
      </c>
      <c r="AU28" s="17">
        <v>1.0</v>
      </c>
      <c r="AV28" s="17">
        <v>1.0</v>
      </c>
      <c r="AW28" s="17">
        <v>1.0</v>
      </c>
      <c r="AX28" s="17">
        <v>1.0</v>
      </c>
      <c r="AY28" s="17">
        <v>0.0</v>
      </c>
      <c r="AZ28" s="17">
        <v>0.0</v>
      </c>
      <c r="BA28" s="17">
        <v>0.0</v>
      </c>
      <c r="BB28" s="17">
        <v>0.0</v>
      </c>
      <c r="BC28" s="17">
        <v>0.0</v>
      </c>
      <c r="BD28" s="17">
        <v>0.0</v>
      </c>
      <c r="BE28" s="17">
        <v>0.0</v>
      </c>
      <c r="BF28" s="17">
        <v>0.0</v>
      </c>
      <c r="BG28" s="17">
        <v>0.0</v>
      </c>
      <c r="BH28" s="17">
        <v>0.0</v>
      </c>
      <c r="BI28" s="17">
        <v>0.0</v>
      </c>
      <c r="BJ28" s="20">
        <f t="shared" si="5"/>
        <v>4</v>
      </c>
      <c r="BK28" s="12">
        <f t="shared" si="6"/>
        <v>0.1428571429</v>
      </c>
      <c r="BL28" s="17">
        <v>0.0</v>
      </c>
      <c r="BM28" s="17">
        <v>0.0</v>
      </c>
      <c r="BN28" s="17">
        <v>0.0</v>
      </c>
      <c r="BO28" s="17">
        <v>0.0</v>
      </c>
      <c r="BP28" s="20">
        <f t="shared" si="7"/>
        <v>0</v>
      </c>
      <c r="BQ28" s="12">
        <f t="shared" si="8"/>
        <v>0</v>
      </c>
      <c r="BR28" s="17">
        <v>0.0</v>
      </c>
      <c r="BS28" s="17">
        <v>0.0</v>
      </c>
      <c r="BT28" s="17">
        <v>0.0</v>
      </c>
      <c r="BU28" s="17">
        <v>0.0</v>
      </c>
      <c r="BV28" s="17">
        <v>0.0</v>
      </c>
      <c r="BW28" s="17">
        <v>0.0</v>
      </c>
      <c r="BX28" s="17">
        <v>0.0</v>
      </c>
      <c r="BY28" s="17">
        <v>1.0</v>
      </c>
      <c r="BZ28" s="17">
        <v>0.0</v>
      </c>
      <c r="CA28" s="17">
        <v>1.0</v>
      </c>
      <c r="CB28" s="17">
        <v>0.0</v>
      </c>
      <c r="CC28" s="17">
        <v>1.0</v>
      </c>
      <c r="CD28" s="17">
        <v>0.0</v>
      </c>
      <c r="CE28" s="17">
        <v>0.0</v>
      </c>
      <c r="CF28" s="17">
        <v>0.0</v>
      </c>
      <c r="CG28" s="17">
        <v>0.0</v>
      </c>
      <c r="CH28" s="17">
        <v>0.0</v>
      </c>
      <c r="CI28" s="17">
        <v>0.0</v>
      </c>
      <c r="CJ28" s="17">
        <v>0.0</v>
      </c>
      <c r="CK28" s="17">
        <v>0.0</v>
      </c>
      <c r="CL28" s="17">
        <v>0.0</v>
      </c>
      <c r="CM28" s="17">
        <v>0.0</v>
      </c>
      <c r="CN28" s="17">
        <v>0.0</v>
      </c>
      <c r="CO28" s="17">
        <v>0.0</v>
      </c>
      <c r="CP28" s="21">
        <f t="shared" si="9"/>
        <v>3</v>
      </c>
      <c r="CQ28" s="14">
        <f t="shared" si="10"/>
        <v>0.0625</v>
      </c>
      <c r="CR28" s="21">
        <f t="shared" si="11"/>
        <v>21</v>
      </c>
      <c r="CS28" s="14">
        <f t="shared" si="12"/>
        <v>0.14</v>
      </c>
    </row>
    <row r="29" ht="22.5" customHeight="1">
      <c r="A29" s="16">
        <v>46139.60927612269</v>
      </c>
      <c r="B29" s="17" t="s">
        <v>325</v>
      </c>
      <c r="C29" s="18">
        <v>0.0</v>
      </c>
      <c r="D29" s="17" t="s">
        <v>326</v>
      </c>
      <c r="E29" s="19" t="s">
        <v>327</v>
      </c>
      <c r="F29" s="17" t="s">
        <v>237</v>
      </c>
      <c r="G29" s="17" t="s">
        <v>328</v>
      </c>
      <c r="H29" s="17" t="s">
        <v>239</v>
      </c>
      <c r="I29" s="17" t="s">
        <v>194</v>
      </c>
      <c r="J29" s="17" t="s">
        <v>195</v>
      </c>
      <c r="K29" s="17">
        <v>1.0</v>
      </c>
      <c r="L29" s="17">
        <v>1.0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1.0</v>
      </c>
      <c r="T29" s="17">
        <v>1.0</v>
      </c>
      <c r="U29" s="17">
        <v>1.0</v>
      </c>
      <c r="V29" s="17">
        <v>1.0</v>
      </c>
      <c r="W29" s="17">
        <v>1.0</v>
      </c>
      <c r="X29" s="17">
        <v>0.0</v>
      </c>
      <c r="Y29" s="17">
        <v>0.0</v>
      </c>
      <c r="Z29" s="17">
        <v>0.0</v>
      </c>
      <c r="AA29" s="17">
        <v>0.0</v>
      </c>
      <c r="AB29" s="20">
        <f t="shared" si="1"/>
        <v>7</v>
      </c>
      <c r="AC29" s="14">
        <f t="shared" si="2"/>
        <v>0.2058823529</v>
      </c>
      <c r="AD29" s="17">
        <v>0.0</v>
      </c>
      <c r="AE29" s="17">
        <v>0.0</v>
      </c>
      <c r="AF29" s="17">
        <v>0.0</v>
      </c>
      <c r="AG29" s="17">
        <v>0.0</v>
      </c>
      <c r="AH29" s="17">
        <v>0.0</v>
      </c>
      <c r="AI29" s="17">
        <v>0.0</v>
      </c>
      <c r="AJ29" s="17">
        <v>0.0</v>
      </c>
      <c r="AK29" s="17">
        <v>0.0</v>
      </c>
      <c r="AL29" s="17">
        <v>0.0</v>
      </c>
      <c r="AM29" s="17">
        <v>0.0</v>
      </c>
      <c r="AN29" s="17">
        <v>1.0</v>
      </c>
      <c r="AO29" s="17">
        <v>0.0</v>
      </c>
      <c r="AP29" s="17">
        <v>0.0</v>
      </c>
      <c r="AQ29" s="17">
        <v>1.0</v>
      </c>
      <c r="AR29" s="17">
        <v>1.0</v>
      </c>
      <c r="AS29" s="20">
        <f t="shared" si="3"/>
        <v>3</v>
      </c>
      <c r="AT29" s="14">
        <f t="shared" si="4"/>
        <v>0.1</v>
      </c>
      <c r="AU29" s="17">
        <v>1.0</v>
      </c>
      <c r="AV29" s="17">
        <v>1.0</v>
      </c>
      <c r="AW29" s="17">
        <v>1.0</v>
      </c>
      <c r="AX29" s="17">
        <v>1.0</v>
      </c>
      <c r="AY29" s="17">
        <v>0.0</v>
      </c>
      <c r="AZ29" s="17">
        <v>0.0</v>
      </c>
      <c r="BA29" s="17">
        <v>1.0</v>
      </c>
      <c r="BB29" s="17">
        <v>1.0</v>
      </c>
      <c r="BC29" s="17">
        <v>1.0</v>
      </c>
      <c r="BD29" s="17">
        <v>0.0</v>
      </c>
      <c r="BE29" s="17">
        <v>0.0</v>
      </c>
      <c r="BF29" s="17">
        <v>1.0</v>
      </c>
      <c r="BG29" s="17">
        <v>0.0</v>
      </c>
      <c r="BH29" s="17">
        <v>1.0</v>
      </c>
      <c r="BI29" s="17">
        <v>0.0</v>
      </c>
      <c r="BJ29" s="20">
        <f t="shared" si="5"/>
        <v>9</v>
      </c>
      <c r="BK29" s="12">
        <f t="shared" si="6"/>
        <v>0.3214285714</v>
      </c>
      <c r="BL29" s="17">
        <v>1.0</v>
      </c>
      <c r="BM29" s="17">
        <v>1.0</v>
      </c>
      <c r="BN29" s="17">
        <v>0.0</v>
      </c>
      <c r="BO29" s="17">
        <v>1.0</v>
      </c>
      <c r="BP29" s="20">
        <f t="shared" si="7"/>
        <v>3</v>
      </c>
      <c r="BQ29" s="12">
        <f t="shared" si="8"/>
        <v>0.375</v>
      </c>
      <c r="BR29" s="17">
        <v>0.0</v>
      </c>
      <c r="BS29" s="17">
        <v>0.0</v>
      </c>
      <c r="BT29" s="17">
        <v>0.0</v>
      </c>
      <c r="BU29" s="17">
        <v>0.0</v>
      </c>
      <c r="BV29" s="17">
        <v>0.0</v>
      </c>
      <c r="BW29" s="17">
        <v>1.0</v>
      </c>
      <c r="BX29" s="17">
        <v>0.0</v>
      </c>
      <c r="BY29" s="17">
        <v>1.0</v>
      </c>
      <c r="BZ29" s="17">
        <v>1.0</v>
      </c>
      <c r="CA29" s="17">
        <v>1.0</v>
      </c>
      <c r="CB29" s="17">
        <v>1.0</v>
      </c>
      <c r="CC29" s="17">
        <v>1.0</v>
      </c>
      <c r="CD29" s="17">
        <v>1.0</v>
      </c>
      <c r="CE29" s="17">
        <v>0.0</v>
      </c>
      <c r="CF29" s="17">
        <v>1.0</v>
      </c>
      <c r="CG29" s="17">
        <v>1.0</v>
      </c>
      <c r="CH29" s="17">
        <v>1.0</v>
      </c>
      <c r="CI29" s="17">
        <v>1.0</v>
      </c>
      <c r="CJ29" s="17">
        <v>1.0</v>
      </c>
      <c r="CK29" s="17">
        <v>1.0</v>
      </c>
      <c r="CL29" s="17">
        <v>0.0</v>
      </c>
      <c r="CM29" s="17">
        <v>0.0</v>
      </c>
      <c r="CN29" s="17">
        <v>0.0</v>
      </c>
      <c r="CO29" s="17">
        <v>0.0</v>
      </c>
      <c r="CP29" s="21">
        <f t="shared" si="9"/>
        <v>13</v>
      </c>
      <c r="CQ29" s="14">
        <f t="shared" si="10"/>
        <v>0.2708333333</v>
      </c>
      <c r="CR29" s="21">
        <f t="shared" si="11"/>
        <v>35</v>
      </c>
      <c r="CS29" s="14">
        <f t="shared" si="12"/>
        <v>0.2333333333</v>
      </c>
    </row>
    <row r="30" ht="22.5" customHeight="1">
      <c r="A30" s="16">
        <v>46139.61180024306</v>
      </c>
      <c r="B30" s="17" t="s">
        <v>329</v>
      </c>
      <c r="C30" s="18">
        <v>0.0</v>
      </c>
      <c r="D30" s="17" t="s">
        <v>330</v>
      </c>
      <c r="E30" s="19" t="s">
        <v>331</v>
      </c>
      <c r="F30" s="17" t="s">
        <v>277</v>
      </c>
      <c r="G30" s="17" t="s">
        <v>332</v>
      </c>
      <c r="H30" s="17" t="s">
        <v>239</v>
      </c>
      <c r="I30" s="17" t="s">
        <v>194</v>
      </c>
      <c r="J30" s="17" t="s">
        <v>195</v>
      </c>
      <c r="K30" s="17">
        <v>0.0</v>
      </c>
      <c r="L30" s="17">
        <v>0.0</v>
      </c>
      <c r="M30" s="17">
        <v>1.0</v>
      </c>
      <c r="N30" s="17">
        <v>1.0</v>
      </c>
      <c r="O30" s="17">
        <v>0.0</v>
      </c>
      <c r="P30" s="17">
        <v>0.0</v>
      </c>
      <c r="Q30" s="17">
        <v>0.0</v>
      </c>
      <c r="R30" s="17">
        <v>0.0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17">
        <v>0.0</v>
      </c>
      <c r="Z30" s="17">
        <v>0.0</v>
      </c>
      <c r="AA30" s="17">
        <v>0.0</v>
      </c>
      <c r="AB30" s="20">
        <f t="shared" si="1"/>
        <v>2</v>
      </c>
      <c r="AC30" s="14">
        <f t="shared" si="2"/>
        <v>0.05882352941</v>
      </c>
      <c r="AD30" s="17">
        <v>0.0</v>
      </c>
      <c r="AE30" s="17">
        <v>0.0</v>
      </c>
      <c r="AF30" s="17">
        <v>0.0</v>
      </c>
      <c r="AG30" s="17">
        <v>0.0</v>
      </c>
      <c r="AH30" s="17">
        <v>0.0</v>
      </c>
      <c r="AI30" s="17">
        <v>0.0</v>
      </c>
      <c r="AJ30" s="17">
        <v>0.0</v>
      </c>
      <c r="AK30" s="17">
        <v>0.0</v>
      </c>
      <c r="AL30" s="17">
        <v>0.0</v>
      </c>
      <c r="AM30" s="17">
        <v>0.0</v>
      </c>
      <c r="AN30" s="17">
        <v>0.0</v>
      </c>
      <c r="AO30" s="17">
        <v>0.0</v>
      </c>
      <c r="AP30" s="17">
        <v>0.0</v>
      </c>
      <c r="AQ30" s="17">
        <v>0.0</v>
      </c>
      <c r="AR30" s="17">
        <v>0.0</v>
      </c>
      <c r="AS30" s="20">
        <f t="shared" si="3"/>
        <v>0</v>
      </c>
      <c r="AT30" s="14">
        <f t="shared" si="4"/>
        <v>0</v>
      </c>
      <c r="AU30" s="17">
        <v>0.0</v>
      </c>
      <c r="AV30" s="17">
        <v>0.0</v>
      </c>
      <c r="AW30" s="17">
        <v>0.0</v>
      </c>
      <c r="AX30" s="17">
        <v>0.0</v>
      </c>
      <c r="AY30" s="17">
        <v>0.0</v>
      </c>
      <c r="AZ30" s="17">
        <v>0.0</v>
      </c>
      <c r="BA30" s="17">
        <v>0.0</v>
      </c>
      <c r="BB30" s="17">
        <v>0.0</v>
      </c>
      <c r="BC30" s="17">
        <v>0.0</v>
      </c>
      <c r="BD30" s="17">
        <v>0.0</v>
      </c>
      <c r="BE30" s="17">
        <v>0.0</v>
      </c>
      <c r="BF30" s="17">
        <v>0.0</v>
      </c>
      <c r="BG30" s="17">
        <v>0.0</v>
      </c>
      <c r="BH30" s="17">
        <v>1.0</v>
      </c>
      <c r="BI30" s="17">
        <v>0.0</v>
      </c>
      <c r="BJ30" s="20">
        <f t="shared" si="5"/>
        <v>1</v>
      </c>
      <c r="BK30" s="12">
        <f t="shared" si="6"/>
        <v>0.03571428571</v>
      </c>
      <c r="BL30" s="17">
        <v>0.0</v>
      </c>
      <c r="BM30" s="17">
        <v>0.0</v>
      </c>
      <c r="BN30" s="17">
        <v>0.0</v>
      </c>
      <c r="BO30" s="17">
        <v>0.0</v>
      </c>
      <c r="BP30" s="20">
        <f t="shared" si="7"/>
        <v>0</v>
      </c>
      <c r="BQ30" s="12">
        <f t="shared" si="8"/>
        <v>0</v>
      </c>
      <c r="BR30" s="17">
        <v>0.0</v>
      </c>
      <c r="BS30" s="17">
        <v>0.0</v>
      </c>
      <c r="BT30" s="17">
        <v>0.0</v>
      </c>
      <c r="BU30" s="17">
        <v>0.0</v>
      </c>
      <c r="BV30" s="17">
        <v>1.0</v>
      </c>
      <c r="BW30" s="17">
        <v>0.0</v>
      </c>
      <c r="BX30" s="17">
        <v>0.0</v>
      </c>
      <c r="BY30" s="17">
        <v>0.0</v>
      </c>
      <c r="BZ30" s="17">
        <v>0.0</v>
      </c>
      <c r="CA30" s="17">
        <v>0.0</v>
      </c>
      <c r="CB30" s="17">
        <v>0.0</v>
      </c>
      <c r="CC30" s="17">
        <v>0.0</v>
      </c>
      <c r="CD30" s="17">
        <v>0.0</v>
      </c>
      <c r="CE30" s="17">
        <v>0.0</v>
      </c>
      <c r="CF30" s="17">
        <v>0.0</v>
      </c>
      <c r="CG30" s="17">
        <v>0.0</v>
      </c>
      <c r="CH30" s="17">
        <v>0.0</v>
      </c>
      <c r="CI30" s="17">
        <v>0.0</v>
      </c>
      <c r="CJ30" s="17">
        <v>0.0</v>
      </c>
      <c r="CK30" s="17">
        <v>0.0</v>
      </c>
      <c r="CL30" s="17">
        <v>0.0</v>
      </c>
      <c r="CM30" s="17">
        <v>0.0</v>
      </c>
      <c r="CN30" s="17">
        <v>0.0</v>
      </c>
      <c r="CO30" s="17">
        <v>0.0</v>
      </c>
      <c r="CP30" s="21">
        <f t="shared" si="9"/>
        <v>1</v>
      </c>
      <c r="CQ30" s="14">
        <f t="shared" si="10"/>
        <v>0.02083333333</v>
      </c>
      <c r="CR30" s="21">
        <f t="shared" si="11"/>
        <v>4</v>
      </c>
      <c r="CS30" s="14">
        <f t="shared" si="12"/>
        <v>0.02666666667</v>
      </c>
    </row>
    <row r="31" ht="22.5" customHeight="1">
      <c r="A31" s="16">
        <v>46139.6186746875</v>
      </c>
      <c r="B31" s="17" t="s">
        <v>333</v>
      </c>
      <c r="C31" s="18">
        <v>0.0</v>
      </c>
      <c r="D31" s="17" t="s">
        <v>334</v>
      </c>
      <c r="E31" s="19" t="s">
        <v>335</v>
      </c>
      <c r="F31" s="17" t="s">
        <v>336</v>
      </c>
      <c r="G31" s="17" t="s">
        <v>337</v>
      </c>
      <c r="H31" s="17" t="s">
        <v>338</v>
      </c>
      <c r="I31" s="17" t="s">
        <v>194</v>
      </c>
      <c r="J31" s="17" t="s">
        <v>195</v>
      </c>
      <c r="K31" s="17">
        <v>0.0</v>
      </c>
      <c r="L31" s="17">
        <v>0.0</v>
      </c>
      <c r="M31" s="17">
        <v>0.0</v>
      </c>
      <c r="N31" s="17">
        <v>1.0</v>
      </c>
      <c r="O31" s="17">
        <v>1.0</v>
      </c>
      <c r="P31" s="17">
        <v>1.0</v>
      </c>
      <c r="Q31" s="17">
        <v>0.0</v>
      </c>
      <c r="R31" s="17">
        <v>1.0</v>
      </c>
      <c r="S31" s="17">
        <v>1.0</v>
      </c>
      <c r="T31" s="17">
        <v>1.0</v>
      </c>
      <c r="U31" s="17">
        <v>1.0</v>
      </c>
      <c r="V31" s="17">
        <v>1.0</v>
      </c>
      <c r="W31" s="17">
        <v>1.0</v>
      </c>
      <c r="X31" s="17">
        <v>0.0</v>
      </c>
      <c r="Y31" s="17">
        <v>0.0</v>
      </c>
      <c r="Z31" s="17">
        <v>0.0</v>
      </c>
      <c r="AA31" s="17">
        <v>0.0</v>
      </c>
      <c r="AB31" s="20">
        <f t="shared" si="1"/>
        <v>9</v>
      </c>
      <c r="AC31" s="14">
        <f t="shared" si="2"/>
        <v>0.2647058824</v>
      </c>
      <c r="AD31" s="17">
        <v>0.0</v>
      </c>
      <c r="AE31" s="17">
        <v>0.0</v>
      </c>
      <c r="AF31" s="17">
        <v>0.0</v>
      </c>
      <c r="AG31" s="17">
        <v>0.0</v>
      </c>
      <c r="AH31" s="17">
        <v>0.0</v>
      </c>
      <c r="AI31" s="17">
        <v>0.0</v>
      </c>
      <c r="AJ31" s="17">
        <v>0.0</v>
      </c>
      <c r="AK31" s="17">
        <v>0.0</v>
      </c>
      <c r="AL31" s="17">
        <v>0.0</v>
      </c>
      <c r="AM31" s="17">
        <v>0.0</v>
      </c>
      <c r="AN31" s="17">
        <v>0.0</v>
      </c>
      <c r="AO31" s="17">
        <v>0.0</v>
      </c>
      <c r="AP31" s="17">
        <v>0.0</v>
      </c>
      <c r="AQ31" s="17">
        <v>0.0</v>
      </c>
      <c r="AR31" s="17">
        <v>0.0</v>
      </c>
      <c r="AS31" s="20">
        <f t="shared" si="3"/>
        <v>0</v>
      </c>
      <c r="AT31" s="14">
        <f t="shared" si="4"/>
        <v>0</v>
      </c>
      <c r="AU31" s="17">
        <v>1.0</v>
      </c>
      <c r="AV31" s="17">
        <v>0.0</v>
      </c>
      <c r="AW31" s="17">
        <v>0.0</v>
      </c>
      <c r="AX31" s="17">
        <v>0.0</v>
      </c>
      <c r="AY31" s="17">
        <v>0.0</v>
      </c>
      <c r="AZ31" s="17">
        <v>0.0</v>
      </c>
      <c r="BA31" s="17">
        <v>0.0</v>
      </c>
      <c r="BB31" s="17">
        <v>0.0</v>
      </c>
      <c r="BC31" s="17">
        <v>0.0</v>
      </c>
      <c r="BD31" s="17">
        <v>0.0</v>
      </c>
      <c r="BE31" s="17">
        <v>0.0</v>
      </c>
      <c r="BF31" s="17">
        <v>1.0</v>
      </c>
      <c r="BG31" s="17">
        <v>0.0</v>
      </c>
      <c r="BH31" s="17">
        <v>0.0</v>
      </c>
      <c r="BI31" s="17">
        <v>0.0</v>
      </c>
      <c r="BJ31" s="20">
        <f t="shared" si="5"/>
        <v>2</v>
      </c>
      <c r="BK31" s="12">
        <f t="shared" si="6"/>
        <v>0.07142857143</v>
      </c>
      <c r="BL31" s="17">
        <v>0.0</v>
      </c>
      <c r="BM31" s="17">
        <v>0.0</v>
      </c>
      <c r="BN31" s="17">
        <v>0.0</v>
      </c>
      <c r="BO31" s="17">
        <v>0.0</v>
      </c>
      <c r="BP31" s="20">
        <f t="shared" si="7"/>
        <v>0</v>
      </c>
      <c r="BQ31" s="12">
        <f t="shared" si="8"/>
        <v>0</v>
      </c>
      <c r="BR31" s="17">
        <v>0.0</v>
      </c>
      <c r="BS31" s="17">
        <v>0.0</v>
      </c>
      <c r="BT31" s="17">
        <v>0.0</v>
      </c>
      <c r="BU31" s="17">
        <v>1.0</v>
      </c>
      <c r="BV31" s="17">
        <v>1.0</v>
      </c>
      <c r="BW31" s="17">
        <v>0.0</v>
      </c>
      <c r="BX31" s="17">
        <v>0.0</v>
      </c>
      <c r="BY31" s="17">
        <v>1.0</v>
      </c>
      <c r="BZ31" s="17">
        <v>0.0</v>
      </c>
      <c r="CA31" s="17">
        <v>0.0</v>
      </c>
      <c r="CB31" s="17">
        <v>0.0</v>
      </c>
      <c r="CC31" s="17">
        <v>0.0</v>
      </c>
      <c r="CD31" s="17">
        <v>0.0</v>
      </c>
      <c r="CE31" s="17">
        <v>0.0</v>
      </c>
      <c r="CF31" s="17">
        <v>0.0</v>
      </c>
      <c r="CG31" s="17">
        <v>0.0</v>
      </c>
      <c r="CH31" s="17">
        <v>0.0</v>
      </c>
      <c r="CI31" s="17">
        <v>0.0</v>
      </c>
      <c r="CJ31" s="17">
        <v>0.0</v>
      </c>
      <c r="CK31" s="17">
        <v>0.0</v>
      </c>
      <c r="CL31" s="17">
        <v>0.0</v>
      </c>
      <c r="CM31" s="17">
        <v>0.0</v>
      </c>
      <c r="CN31" s="17">
        <v>0.0</v>
      </c>
      <c r="CO31" s="17">
        <v>0.0</v>
      </c>
      <c r="CP31" s="21">
        <f t="shared" si="9"/>
        <v>3</v>
      </c>
      <c r="CQ31" s="14">
        <f t="shared" si="10"/>
        <v>0.0625</v>
      </c>
      <c r="CR31" s="21">
        <f t="shared" si="11"/>
        <v>14</v>
      </c>
      <c r="CS31" s="14">
        <f t="shared" si="12"/>
        <v>0.09333333333</v>
      </c>
    </row>
    <row r="32" ht="22.5" customHeight="1">
      <c r="A32" s="16">
        <v>46139.63874550926</v>
      </c>
      <c r="B32" s="17" t="s">
        <v>339</v>
      </c>
      <c r="C32" s="18">
        <v>0.0</v>
      </c>
      <c r="D32" s="17" t="s">
        <v>340</v>
      </c>
      <c r="E32" s="19" t="s">
        <v>341</v>
      </c>
      <c r="F32" s="17" t="s">
        <v>342</v>
      </c>
      <c r="G32" s="17" t="s">
        <v>343</v>
      </c>
      <c r="H32" s="17" t="s">
        <v>250</v>
      </c>
      <c r="I32" s="17" t="s">
        <v>194</v>
      </c>
      <c r="J32" s="17" t="s">
        <v>195</v>
      </c>
      <c r="K32" s="17">
        <v>1.0</v>
      </c>
      <c r="L32" s="17">
        <v>1.0</v>
      </c>
      <c r="M32" s="17">
        <v>1.0</v>
      </c>
      <c r="N32" s="17">
        <v>1.0</v>
      </c>
      <c r="O32" s="17">
        <v>1.0</v>
      </c>
      <c r="P32" s="17">
        <v>1.0</v>
      </c>
      <c r="Q32" s="17">
        <v>1.0</v>
      </c>
      <c r="R32" s="17">
        <v>1.0</v>
      </c>
      <c r="S32" s="17">
        <v>1.0</v>
      </c>
      <c r="T32" s="17">
        <v>1.0</v>
      </c>
      <c r="U32" s="17">
        <v>1.0</v>
      </c>
      <c r="V32" s="17">
        <v>1.0</v>
      </c>
      <c r="W32" s="17">
        <v>1.0</v>
      </c>
      <c r="X32" s="17">
        <v>1.0</v>
      </c>
      <c r="Y32" s="17">
        <v>1.0</v>
      </c>
      <c r="Z32" s="17">
        <v>1.0</v>
      </c>
      <c r="AA32" s="17">
        <v>1.0</v>
      </c>
      <c r="AB32" s="20">
        <f t="shared" si="1"/>
        <v>17</v>
      </c>
      <c r="AC32" s="14">
        <f t="shared" si="2"/>
        <v>0.5</v>
      </c>
      <c r="AD32" s="17">
        <v>1.0</v>
      </c>
      <c r="AE32" s="17">
        <v>1.0</v>
      </c>
      <c r="AF32" s="17">
        <v>0.0</v>
      </c>
      <c r="AG32" s="17">
        <v>0.0</v>
      </c>
      <c r="AH32" s="17">
        <v>0.0</v>
      </c>
      <c r="AI32" s="17">
        <v>1.0</v>
      </c>
      <c r="AJ32" s="17">
        <v>1.0</v>
      </c>
      <c r="AK32" s="17">
        <v>1.0</v>
      </c>
      <c r="AL32" s="17">
        <v>1.0</v>
      </c>
      <c r="AM32" s="17">
        <v>1.0</v>
      </c>
      <c r="AN32" s="17">
        <v>0.0</v>
      </c>
      <c r="AO32" s="17">
        <v>1.0</v>
      </c>
      <c r="AP32" s="17">
        <v>0.0</v>
      </c>
      <c r="AQ32" s="17">
        <v>0.0</v>
      </c>
      <c r="AR32" s="17">
        <v>0.0</v>
      </c>
      <c r="AS32" s="20">
        <f t="shared" si="3"/>
        <v>8</v>
      </c>
      <c r="AT32" s="14">
        <f t="shared" si="4"/>
        <v>0.2666666667</v>
      </c>
      <c r="AU32" s="17">
        <v>1.0</v>
      </c>
      <c r="AV32" s="17">
        <v>1.0</v>
      </c>
      <c r="AW32" s="17">
        <v>1.0</v>
      </c>
      <c r="AX32" s="17">
        <v>1.0</v>
      </c>
      <c r="AY32" s="17">
        <v>0.0</v>
      </c>
      <c r="AZ32" s="17">
        <v>1.0</v>
      </c>
      <c r="BA32" s="17">
        <v>1.0</v>
      </c>
      <c r="BB32" s="17">
        <v>0.0</v>
      </c>
      <c r="BC32" s="17">
        <v>1.0</v>
      </c>
      <c r="BD32" s="17">
        <v>1.0</v>
      </c>
      <c r="BE32" s="17">
        <v>1.0</v>
      </c>
      <c r="BF32" s="17">
        <v>1.0</v>
      </c>
      <c r="BG32" s="17">
        <v>1.0</v>
      </c>
      <c r="BH32" s="17">
        <v>1.0</v>
      </c>
      <c r="BI32" s="17">
        <v>1.0</v>
      </c>
      <c r="BJ32" s="20">
        <f t="shared" si="5"/>
        <v>13</v>
      </c>
      <c r="BK32" s="12">
        <f t="shared" si="6"/>
        <v>0.4642857143</v>
      </c>
      <c r="BL32" s="17">
        <v>0.0</v>
      </c>
      <c r="BM32" s="17">
        <v>1.0</v>
      </c>
      <c r="BN32" s="17">
        <v>0.0</v>
      </c>
      <c r="BO32" s="17">
        <v>1.0</v>
      </c>
      <c r="BP32" s="20">
        <f t="shared" si="7"/>
        <v>2</v>
      </c>
      <c r="BQ32" s="12">
        <f t="shared" si="8"/>
        <v>0.25</v>
      </c>
      <c r="BR32" s="17">
        <v>1.0</v>
      </c>
      <c r="BS32" s="17">
        <v>0.0</v>
      </c>
      <c r="BT32" s="17">
        <v>0.0</v>
      </c>
      <c r="BU32" s="17">
        <v>1.0</v>
      </c>
      <c r="BV32" s="17">
        <v>0.0</v>
      </c>
      <c r="BW32" s="17">
        <v>1.0</v>
      </c>
      <c r="BX32" s="17">
        <v>1.0</v>
      </c>
      <c r="BY32" s="17">
        <v>0.0</v>
      </c>
      <c r="BZ32" s="17">
        <v>1.0</v>
      </c>
      <c r="CA32" s="17">
        <v>1.0</v>
      </c>
      <c r="CB32" s="17">
        <v>0.0</v>
      </c>
      <c r="CC32" s="17">
        <v>0.0</v>
      </c>
      <c r="CD32" s="17">
        <v>0.0</v>
      </c>
      <c r="CE32" s="17">
        <v>1.0</v>
      </c>
      <c r="CF32" s="17">
        <v>1.0</v>
      </c>
      <c r="CG32" s="17">
        <v>1.0</v>
      </c>
      <c r="CH32" s="17">
        <v>1.0</v>
      </c>
      <c r="CI32" s="17">
        <v>1.0</v>
      </c>
      <c r="CJ32" s="17">
        <v>1.0</v>
      </c>
      <c r="CK32" s="17">
        <v>1.0</v>
      </c>
      <c r="CL32" s="17">
        <v>1.0</v>
      </c>
      <c r="CM32" s="17">
        <v>1.0</v>
      </c>
      <c r="CN32" s="17">
        <v>1.0</v>
      </c>
      <c r="CO32" s="17">
        <v>0.0</v>
      </c>
      <c r="CP32" s="21">
        <f t="shared" si="9"/>
        <v>16</v>
      </c>
      <c r="CQ32" s="14">
        <f t="shared" si="10"/>
        <v>0.3333333333</v>
      </c>
      <c r="CR32" s="21">
        <f t="shared" si="11"/>
        <v>56</v>
      </c>
      <c r="CS32" s="14">
        <f t="shared" si="12"/>
        <v>0.3733333333</v>
      </c>
    </row>
    <row r="33" ht="22.5" customHeight="1">
      <c r="A33" s="16">
        <v>46139.64042962963</v>
      </c>
      <c r="B33" s="17" t="s">
        <v>344</v>
      </c>
      <c r="C33" s="18">
        <v>0.0</v>
      </c>
      <c r="D33" s="17" t="s">
        <v>345</v>
      </c>
      <c r="E33" s="19" t="s">
        <v>346</v>
      </c>
      <c r="F33" s="17" t="s">
        <v>208</v>
      </c>
      <c r="G33" s="17" t="s">
        <v>345</v>
      </c>
      <c r="H33" s="17" t="s">
        <v>193</v>
      </c>
      <c r="I33" s="17" t="s">
        <v>347</v>
      </c>
      <c r="J33" s="17" t="s">
        <v>195</v>
      </c>
      <c r="K33" s="17">
        <v>2.0</v>
      </c>
      <c r="L33" s="17">
        <v>2.0</v>
      </c>
      <c r="M33" s="17">
        <v>1.0</v>
      </c>
      <c r="N33" s="17">
        <v>2.0</v>
      </c>
      <c r="O33" s="17">
        <v>1.0</v>
      </c>
      <c r="P33" s="17">
        <v>1.0</v>
      </c>
      <c r="Q33" s="17">
        <v>1.0</v>
      </c>
      <c r="R33" s="17">
        <v>1.0</v>
      </c>
      <c r="S33" s="17">
        <v>1.0</v>
      </c>
      <c r="T33" s="17">
        <v>1.0</v>
      </c>
      <c r="U33" s="17">
        <v>2.0</v>
      </c>
      <c r="V33" s="17">
        <v>1.0</v>
      </c>
      <c r="W33" s="17">
        <v>1.0</v>
      </c>
      <c r="X33" s="17">
        <v>1.0</v>
      </c>
      <c r="Y33" s="17">
        <v>1.0</v>
      </c>
      <c r="Z33" s="17">
        <v>1.0</v>
      </c>
      <c r="AA33" s="17">
        <v>1.0</v>
      </c>
      <c r="AB33" s="20">
        <f t="shared" si="1"/>
        <v>21</v>
      </c>
      <c r="AC33" s="14">
        <f t="shared" si="2"/>
        <v>0.6176470588</v>
      </c>
      <c r="AD33" s="17">
        <v>1.0</v>
      </c>
      <c r="AE33" s="17">
        <v>1.0</v>
      </c>
      <c r="AF33" s="17">
        <v>0.0</v>
      </c>
      <c r="AG33" s="17">
        <v>0.0</v>
      </c>
      <c r="AH33" s="17">
        <v>0.0</v>
      </c>
      <c r="AI33" s="17">
        <v>0.0</v>
      </c>
      <c r="AJ33" s="17">
        <v>2.0</v>
      </c>
      <c r="AK33" s="17">
        <v>0.0</v>
      </c>
      <c r="AL33" s="17">
        <v>0.0</v>
      </c>
      <c r="AM33" s="17">
        <v>0.0</v>
      </c>
      <c r="AN33" s="17">
        <v>2.0</v>
      </c>
      <c r="AO33" s="17">
        <v>1.0</v>
      </c>
      <c r="AP33" s="17">
        <v>2.0</v>
      </c>
      <c r="AQ33" s="17">
        <v>2.0</v>
      </c>
      <c r="AR33" s="17">
        <v>2.0</v>
      </c>
      <c r="AS33" s="20">
        <f t="shared" si="3"/>
        <v>13</v>
      </c>
      <c r="AT33" s="14">
        <f t="shared" si="4"/>
        <v>0.4333333333</v>
      </c>
      <c r="AU33" s="17">
        <v>2.0</v>
      </c>
      <c r="AV33" s="17">
        <v>2.0</v>
      </c>
      <c r="AW33" s="17">
        <v>2.0</v>
      </c>
      <c r="AX33" s="17">
        <v>2.0</v>
      </c>
      <c r="AY33" s="17">
        <v>2.0</v>
      </c>
      <c r="AZ33" s="17">
        <v>0.0</v>
      </c>
      <c r="BA33" s="17">
        <v>2.0</v>
      </c>
      <c r="BB33" s="17">
        <v>2.0</v>
      </c>
      <c r="BC33" s="17">
        <v>1.0</v>
      </c>
      <c r="BD33" s="17">
        <v>1.0</v>
      </c>
      <c r="BE33" s="17">
        <v>1.0</v>
      </c>
      <c r="BF33" s="17">
        <v>2.0</v>
      </c>
      <c r="BG33" s="17">
        <v>1.0</v>
      </c>
      <c r="BH33" s="17">
        <v>2.0</v>
      </c>
      <c r="BI33" s="17">
        <v>1.0</v>
      </c>
      <c r="BJ33" s="20">
        <f t="shared" si="5"/>
        <v>23</v>
      </c>
      <c r="BK33" s="12">
        <f t="shared" si="6"/>
        <v>0.8214285714</v>
      </c>
      <c r="BL33" s="17">
        <v>1.0</v>
      </c>
      <c r="BM33" s="17">
        <v>0.0</v>
      </c>
      <c r="BN33" s="17">
        <v>2.0</v>
      </c>
      <c r="BO33" s="17">
        <v>2.0</v>
      </c>
      <c r="BP33" s="20">
        <f t="shared" si="7"/>
        <v>5</v>
      </c>
      <c r="BQ33" s="12">
        <f t="shared" si="8"/>
        <v>0.625</v>
      </c>
      <c r="BR33" s="17">
        <v>2.0</v>
      </c>
      <c r="BS33" s="17">
        <v>2.0</v>
      </c>
      <c r="BT33" s="17">
        <v>0.0</v>
      </c>
      <c r="BU33" s="17">
        <v>0.0</v>
      </c>
      <c r="BV33" s="17">
        <v>2.0</v>
      </c>
      <c r="BW33" s="17">
        <v>2.0</v>
      </c>
      <c r="BX33" s="17">
        <v>0.0</v>
      </c>
      <c r="BY33" s="17">
        <v>2.0</v>
      </c>
      <c r="BZ33" s="17">
        <v>1.0</v>
      </c>
      <c r="CA33" s="17">
        <v>2.0</v>
      </c>
      <c r="CB33" s="17">
        <v>2.0</v>
      </c>
      <c r="CC33" s="17">
        <v>2.0</v>
      </c>
      <c r="CD33" s="17">
        <v>2.0</v>
      </c>
      <c r="CE33" s="17">
        <v>2.0</v>
      </c>
      <c r="CF33" s="17">
        <v>2.0</v>
      </c>
      <c r="CG33" s="17">
        <v>2.0</v>
      </c>
      <c r="CH33" s="17">
        <v>1.0</v>
      </c>
      <c r="CI33" s="17">
        <v>1.0</v>
      </c>
      <c r="CJ33" s="17">
        <v>2.0</v>
      </c>
      <c r="CK33" s="17">
        <v>0.0</v>
      </c>
      <c r="CL33" s="17">
        <v>2.0</v>
      </c>
      <c r="CM33" s="17">
        <v>0.0</v>
      </c>
      <c r="CN33" s="17">
        <v>2.0</v>
      </c>
      <c r="CO33" s="17">
        <v>1.0</v>
      </c>
      <c r="CP33" s="21">
        <f t="shared" si="9"/>
        <v>34</v>
      </c>
      <c r="CQ33" s="14">
        <f t="shared" si="10"/>
        <v>0.7083333333</v>
      </c>
      <c r="CR33" s="21">
        <f t="shared" si="11"/>
        <v>96</v>
      </c>
      <c r="CS33" s="14">
        <f t="shared" si="12"/>
        <v>0.64</v>
      </c>
    </row>
    <row r="34" ht="22.5" customHeight="1">
      <c r="A34" s="16">
        <v>46139.67543145834</v>
      </c>
      <c r="B34" s="17" t="s">
        <v>348</v>
      </c>
      <c r="C34" s="18">
        <v>0.0</v>
      </c>
      <c r="D34" s="17" t="s">
        <v>349</v>
      </c>
      <c r="E34" s="19" t="s">
        <v>350</v>
      </c>
      <c r="F34" s="17" t="s">
        <v>208</v>
      </c>
      <c r="G34" s="17" t="s">
        <v>351</v>
      </c>
      <c r="H34" s="17" t="s">
        <v>193</v>
      </c>
      <c r="I34" s="17" t="s">
        <v>226</v>
      </c>
      <c r="J34" s="17" t="s">
        <v>304</v>
      </c>
      <c r="K34" s="17">
        <v>1.0</v>
      </c>
      <c r="L34" s="17">
        <v>2.0</v>
      </c>
      <c r="M34" s="17">
        <v>2.0</v>
      </c>
      <c r="N34" s="17">
        <v>2.0</v>
      </c>
      <c r="O34" s="17">
        <v>2.0</v>
      </c>
      <c r="P34" s="17">
        <v>2.0</v>
      </c>
      <c r="Q34" s="17">
        <v>2.0</v>
      </c>
      <c r="R34" s="17">
        <v>2.0</v>
      </c>
      <c r="S34" s="17">
        <v>2.0</v>
      </c>
      <c r="T34" s="17">
        <v>2.0</v>
      </c>
      <c r="U34" s="17">
        <v>2.0</v>
      </c>
      <c r="V34" s="17">
        <v>2.0</v>
      </c>
      <c r="W34" s="17">
        <v>2.0</v>
      </c>
      <c r="X34" s="17">
        <v>2.0</v>
      </c>
      <c r="Y34" s="17">
        <v>2.0</v>
      </c>
      <c r="Z34" s="17">
        <v>2.0</v>
      </c>
      <c r="AA34" s="17">
        <v>2.0</v>
      </c>
      <c r="AB34" s="20">
        <f t="shared" si="1"/>
        <v>33</v>
      </c>
      <c r="AC34" s="14">
        <f t="shared" si="2"/>
        <v>0.9705882353</v>
      </c>
      <c r="AD34" s="17">
        <v>2.0</v>
      </c>
      <c r="AE34" s="17">
        <v>2.0</v>
      </c>
      <c r="AF34" s="17">
        <v>2.0</v>
      </c>
      <c r="AG34" s="17">
        <v>2.0</v>
      </c>
      <c r="AH34" s="17">
        <v>2.0</v>
      </c>
      <c r="AI34" s="17">
        <v>2.0</v>
      </c>
      <c r="AJ34" s="17">
        <v>2.0</v>
      </c>
      <c r="AK34" s="17">
        <v>2.0</v>
      </c>
      <c r="AL34" s="17">
        <v>2.0</v>
      </c>
      <c r="AM34" s="17">
        <v>2.0</v>
      </c>
      <c r="AN34" s="17">
        <v>2.0</v>
      </c>
      <c r="AO34" s="17">
        <v>2.0</v>
      </c>
      <c r="AP34" s="17">
        <v>2.0</v>
      </c>
      <c r="AQ34" s="17">
        <v>2.0</v>
      </c>
      <c r="AR34" s="17">
        <v>2.0</v>
      </c>
      <c r="AS34" s="20">
        <f t="shared" si="3"/>
        <v>30</v>
      </c>
      <c r="AT34" s="14">
        <f t="shared" si="4"/>
        <v>1</v>
      </c>
      <c r="AU34" s="17">
        <v>2.0</v>
      </c>
      <c r="AV34" s="17">
        <v>2.0</v>
      </c>
      <c r="AW34" s="17">
        <v>2.0</v>
      </c>
      <c r="AX34" s="17">
        <v>2.0</v>
      </c>
      <c r="AY34" s="17">
        <v>2.0</v>
      </c>
      <c r="AZ34" s="17">
        <v>2.0</v>
      </c>
      <c r="BA34" s="17">
        <v>2.0</v>
      </c>
      <c r="BB34" s="17">
        <v>2.0</v>
      </c>
      <c r="BC34" s="17">
        <v>2.0</v>
      </c>
      <c r="BD34" s="17">
        <v>2.0</v>
      </c>
      <c r="BE34" s="17">
        <v>2.0</v>
      </c>
      <c r="BF34" s="17">
        <v>2.0</v>
      </c>
      <c r="BG34" s="17">
        <v>2.0</v>
      </c>
      <c r="BH34" s="17">
        <v>2.0</v>
      </c>
      <c r="BI34" s="17">
        <v>2.0</v>
      </c>
      <c r="BJ34" s="20">
        <f t="shared" si="5"/>
        <v>30</v>
      </c>
      <c r="BK34" s="12">
        <f t="shared" si="6"/>
        <v>1.071428571</v>
      </c>
      <c r="BL34" s="17">
        <v>2.0</v>
      </c>
      <c r="BM34" s="17">
        <v>2.0</v>
      </c>
      <c r="BN34" s="17">
        <v>2.0</v>
      </c>
      <c r="BO34" s="17">
        <v>2.0</v>
      </c>
      <c r="BP34" s="20">
        <f t="shared" si="7"/>
        <v>8</v>
      </c>
      <c r="BQ34" s="12">
        <f t="shared" si="8"/>
        <v>1</v>
      </c>
      <c r="BR34" s="17">
        <v>2.0</v>
      </c>
      <c r="BS34" s="17">
        <v>2.0</v>
      </c>
      <c r="BT34" s="17">
        <v>2.0</v>
      </c>
      <c r="BU34" s="17">
        <v>2.0</v>
      </c>
      <c r="BV34" s="17">
        <v>2.0</v>
      </c>
      <c r="BW34" s="17">
        <v>2.0</v>
      </c>
      <c r="BX34" s="17">
        <v>2.0</v>
      </c>
      <c r="BY34" s="17">
        <v>2.0</v>
      </c>
      <c r="BZ34" s="17">
        <v>2.0</v>
      </c>
      <c r="CA34" s="17">
        <v>2.0</v>
      </c>
      <c r="CB34" s="17">
        <v>2.0</v>
      </c>
      <c r="CC34" s="17">
        <v>2.0</v>
      </c>
      <c r="CD34" s="17">
        <v>2.0</v>
      </c>
      <c r="CE34" s="17">
        <v>2.0</v>
      </c>
      <c r="CF34" s="17">
        <v>2.0</v>
      </c>
      <c r="CG34" s="17">
        <v>2.0</v>
      </c>
      <c r="CH34" s="17">
        <v>2.0</v>
      </c>
      <c r="CI34" s="17">
        <v>2.0</v>
      </c>
      <c r="CJ34" s="17">
        <v>2.0</v>
      </c>
      <c r="CK34" s="17">
        <v>2.0</v>
      </c>
      <c r="CL34" s="17">
        <v>2.0</v>
      </c>
      <c r="CM34" s="17">
        <v>2.0</v>
      </c>
      <c r="CN34" s="17">
        <v>2.0</v>
      </c>
      <c r="CO34" s="17">
        <v>2.0</v>
      </c>
      <c r="CP34" s="21">
        <f t="shared" si="9"/>
        <v>48</v>
      </c>
      <c r="CQ34" s="14">
        <f t="shared" si="10"/>
        <v>1</v>
      </c>
      <c r="CR34" s="21">
        <f t="shared" si="11"/>
        <v>149</v>
      </c>
      <c r="CS34" s="14">
        <f t="shared" si="12"/>
        <v>0.9933333333</v>
      </c>
    </row>
    <row r="35" ht="22.5" customHeight="1">
      <c r="A35" s="16">
        <v>46139.67990567129</v>
      </c>
      <c r="B35" s="17" t="s">
        <v>352</v>
      </c>
      <c r="C35" s="18">
        <v>0.0</v>
      </c>
      <c r="D35" s="17" t="s">
        <v>353</v>
      </c>
      <c r="E35" s="19" t="s">
        <v>354</v>
      </c>
      <c r="F35" s="17" t="s">
        <v>355</v>
      </c>
      <c r="G35" s="17" t="s">
        <v>356</v>
      </c>
      <c r="H35" s="17" t="s">
        <v>273</v>
      </c>
      <c r="I35" s="17" t="s">
        <v>194</v>
      </c>
      <c r="J35" s="17" t="s">
        <v>195</v>
      </c>
      <c r="K35" s="17">
        <v>0.0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1.0</v>
      </c>
      <c r="R35" s="17">
        <v>1.0</v>
      </c>
      <c r="S35" s="17">
        <v>0.0</v>
      </c>
      <c r="T35" s="17">
        <v>0.0</v>
      </c>
      <c r="U35" s="17">
        <v>0.0</v>
      </c>
      <c r="V35" s="17">
        <v>0.0</v>
      </c>
      <c r="W35" s="17">
        <v>1.0</v>
      </c>
      <c r="X35" s="17">
        <v>1.0</v>
      </c>
      <c r="Y35" s="17">
        <v>0.0</v>
      </c>
      <c r="Z35" s="17">
        <v>0.0</v>
      </c>
      <c r="AA35" s="17">
        <v>0.0</v>
      </c>
      <c r="AB35" s="20">
        <f t="shared" si="1"/>
        <v>4</v>
      </c>
      <c r="AC35" s="14">
        <f t="shared" si="2"/>
        <v>0.1176470588</v>
      </c>
      <c r="AD35" s="17">
        <v>0.0</v>
      </c>
      <c r="AE35" s="17">
        <v>1.0</v>
      </c>
      <c r="AF35" s="17">
        <v>1.0</v>
      </c>
      <c r="AG35" s="17">
        <v>1.0</v>
      </c>
      <c r="AH35" s="17">
        <v>1.0</v>
      </c>
      <c r="AI35" s="17">
        <v>0.0</v>
      </c>
      <c r="AJ35" s="17">
        <v>1.0</v>
      </c>
      <c r="AK35" s="17">
        <v>0.0</v>
      </c>
      <c r="AL35" s="17">
        <v>0.0</v>
      </c>
      <c r="AM35" s="17">
        <v>0.0</v>
      </c>
      <c r="AN35" s="17">
        <v>0.0</v>
      </c>
      <c r="AO35" s="17">
        <v>0.0</v>
      </c>
      <c r="AP35" s="17">
        <v>0.0</v>
      </c>
      <c r="AQ35" s="17">
        <v>0.0</v>
      </c>
      <c r="AR35" s="17">
        <v>0.0</v>
      </c>
      <c r="AS35" s="20">
        <f t="shared" si="3"/>
        <v>5</v>
      </c>
      <c r="AT35" s="14">
        <f t="shared" si="4"/>
        <v>0.1666666667</v>
      </c>
      <c r="AU35" s="17">
        <v>1.0</v>
      </c>
      <c r="AV35" s="17">
        <v>0.0</v>
      </c>
      <c r="AW35" s="17">
        <v>0.0</v>
      </c>
      <c r="AX35" s="17">
        <v>0.0</v>
      </c>
      <c r="AY35" s="17">
        <v>0.0</v>
      </c>
      <c r="AZ35" s="17">
        <v>0.0</v>
      </c>
      <c r="BA35" s="17">
        <v>0.0</v>
      </c>
      <c r="BB35" s="17">
        <v>0.0</v>
      </c>
      <c r="BC35" s="17">
        <v>0.0</v>
      </c>
      <c r="BD35" s="17">
        <v>0.0</v>
      </c>
      <c r="BE35" s="17">
        <v>0.0</v>
      </c>
      <c r="BF35" s="17">
        <v>1.0</v>
      </c>
      <c r="BG35" s="17">
        <v>0.0</v>
      </c>
      <c r="BH35" s="17">
        <v>0.0</v>
      </c>
      <c r="BI35" s="17">
        <v>0.0</v>
      </c>
      <c r="BJ35" s="20">
        <f t="shared" si="5"/>
        <v>2</v>
      </c>
      <c r="BK35" s="12">
        <f t="shared" si="6"/>
        <v>0.07142857143</v>
      </c>
      <c r="BL35" s="17">
        <v>0.0</v>
      </c>
      <c r="BM35" s="17">
        <v>0.0</v>
      </c>
      <c r="BN35" s="17">
        <v>0.0</v>
      </c>
      <c r="BO35" s="17">
        <v>0.0</v>
      </c>
      <c r="BP35" s="20">
        <f t="shared" si="7"/>
        <v>0</v>
      </c>
      <c r="BQ35" s="12">
        <f t="shared" si="8"/>
        <v>0</v>
      </c>
      <c r="BR35" s="17">
        <v>0.0</v>
      </c>
      <c r="BS35" s="17">
        <v>0.0</v>
      </c>
      <c r="BT35" s="17">
        <v>0.0</v>
      </c>
      <c r="BU35" s="17">
        <v>0.0</v>
      </c>
      <c r="BV35" s="17">
        <v>0.0</v>
      </c>
      <c r="BW35" s="17">
        <v>1.0</v>
      </c>
      <c r="BX35" s="17">
        <v>0.0</v>
      </c>
      <c r="BY35" s="17">
        <v>1.0</v>
      </c>
      <c r="BZ35" s="17">
        <v>0.0</v>
      </c>
      <c r="CA35" s="17">
        <v>0.0</v>
      </c>
      <c r="CB35" s="17">
        <v>0.0</v>
      </c>
      <c r="CC35" s="17">
        <v>0.0</v>
      </c>
      <c r="CD35" s="17">
        <v>0.0</v>
      </c>
      <c r="CE35" s="17">
        <v>0.0</v>
      </c>
      <c r="CF35" s="17">
        <v>0.0</v>
      </c>
      <c r="CG35" s="17">
        <v>0.0</v>
      </c>
      <c r="CH35" s="17">
        <v>0.0</v>
      </c>
      <c r="CI35" s="17">
        <v>0.0</v>
      </c>
      <c r="CJ35" s="17">
        <v>0.0</v>
      </c>
      <c r="CK35" s="17">
        <v>0.0</v>
      </c>
      <c r="CL35" s="17">
        <v>0.0</v>
      </c>
      <c r="CM35" s="17">
        <v>0.0</v>
      </c>
      <c r="CN35" s="17">
        <v>0.0</v>
      </c>
      <c r="CO35" s="17">
        <v>0.0</v>
      </c>
      <c r="CP35" s="21">
        <f t="shared" si="9"/>
        <v>2</v>
      </c>
      <c r="CQ35" s="14">
        <f t="shared" si="10"/>
        <v>0.04166666667</v>
      </c>
      <c r="CR35" s="21">
        <f t="shared" si="11"/>
        <v>13</v>
      </c>
      <c r="CS35" s="14">
        <f t="shared" si="12"/>
        <v>0.08666666667</v>
      </c>
    </row>
    <row r="36" ht="22.5" customHeight="1">
      <c r="A36" s="16">
        <v>46140.20867371528</v>
      </c>
      <c r="B36" s="17" t="s">
        <v>357</v>
      </c>
      <c r="C36" s="18">
        <v>0.0</v>
      </c>
      <c r="D36" s="17" t="s">
        <v>358</v>
      </c>
      <c r="E36" s="19" t="s">
        <v>359</v>
      </c>
      <c r="F36" s="17" t="s">
        <v>360</v>
      </c>
      <c r="G36" s="17" t="s">
        <v>361</v>
      </c>
      <c r="H36" s="17" t="s">
        <v>239</v>
      </c>
      <c r="I36" s="17" t="s">
        <v>226</v>
      </c>
      <c r="J36" s="17" t="s">
        <v>304</v>
      </c>
      <c r="K36" s="17">
        <v>1.0</v>
      </c>
      <c r="L36" s="17">
        <v>1.0</v>
      </c>
      <c r="M36" s="17">
        <v>1.0</v>
      </c>
      <c r="N36" s="17">
        <v>1.0</v>
      </c>
      <c r="O36" s="17">
        <v>1.0</v>
      </c>
      <c r="P36" s="17">
        <v>0.0</v>
      </c>
      <c r="Q36" s="17">
        <v>1.0</v>
      </c>
      <c r="R36" s="17">
        <v>1.0</v>
      </c>
      <c r="S36" s="17">
        <v>1.0</v>
      </c>
      <c r="T36" s="17">
        <v>1.0</v>
      </c>
      <c r="U36" s="17">
        <v>1.0</v>
      </c>
      <c r="V36" s="17">
        <v>0.0</v>
      </c>
      <c r="W36" s="17">
        <v>1.0</v>
      </c>
      <c r="X36" s="17">
        <v>1.0</v>
      </c>
      <c r="Y36" s="17">
        <v>0.0</v>
      </c>
      <c r="Z36" s="17">
        <v>0.0</v>
      </c>
      <c r="AA36" s="17">
        <v>0.0</v>
      </c>
      <c r="AB36" s="20">
        <f t="shared" si="1"/>
        <v>12</v>
      </c>
      <c r="AC36" s="14">
        <f t="shared" si="2"/>
        <v>0.3529411765</v>
      </c>
      <c r="AD36" s="17">
        <v>0.0</v>
      </c>
      <c r="AE36" s="17">
        <v>0.0</v>
      </c>
      <c r="AF36" s="17">
        <v>0.0</v>
      </c>
      <c r="AG36" s="17">
        <v>0.0</v>
      </c>
      <c r="AH36" s="17">
        <v>0.0</v>
      </c>
      <c r="AI36" s="17">
        <v>0.0</v>
      </c>
      <c r="AJ36" s="17">
        <v>0.0</v>
      </c>
      <c r="AK36" s="17">
        <v>0.0</v>
      </c>
      <c r="AL36" s="17">
        <v>0.0</v>
      </c>
      <c r="AM36" s="17">
        <v>0.0</v>
      </c>
      <c r="AN36" s="17">
        <v>0.0</v>
      </c>
      <c r="AO36" s="17">
        <v>0.0</v>
      </c>
      <c r="AP36" s="17">
        <v>0.0</v>
      </c>
      <c r="AQ36" s="17">
        <v>0.0</v>
      </c>
      <c r="AR36" s="17">
        <v>0.0</v>
      </c>
      <c r="AS36" s="20">
        <f t="shared" si="3"/>
        <v>0</v>
      </c>
      <c r="AT36" s="14">
        <f t="shared" si="4"/>
        <v>0</v>
      </c>
      <c r="AU36" s="17">
        <v>1.0</v>
      </c>
      <c r="AV36" s="17">
        <v>1.0</v>
      </c>
      <c r="AW36" s="17">
        <v>1.0</v>
      </c>
      <c r="AX36" s="17">
        <v>0.0</v>
      </c>
      <c r="AY36" s="17">
        <v>0.0</v>
      </c>
      <c r="AZ36" s="17">
        <v>0.0</v>
      </c>
      <c r="BA36" s="17">
        <v>0.0</v>
      </c>
      <c r="BB36" s="17">
        <v>0.0</v>
      </c>
      <c r="BC36" s="17">
        <v>0.0</v>
      </c>
      <c r="BD36" s="17">
        <v>0.0</v>
      </c>
      <c r="BE36" s="17">
        <v>0.0</v>
      </c>
      <c r="BF36" s="17">
        <v>0.0</v>
      </c>
      <c r="BG36" s="17">
        <v>0.0</v>
      </c>
      <c r="BH36" s="17">
        <v>0.0</v>
      </c>
      <c r="BI36" s="17">
        <v>0.0</v>
      </c>
      <c r="BJ36" s="20">
        <f t="shared" si="5"/>
        <v>3</v>
      </c>
      <c r="BK36" s="12">
        <f t="shared" si="6"/>
        <v>0.1071428571</v>
      </c>
      <c r="BL36" s="17">
        <v>0.0</v>
      </c>
      <c r="BM36" s="17">
        <v>0.0</v>
      </c>
      <c r="BN36" s="17">
        <v>0.0</v>
      </c>
      <c r="BO36" s="17">
        <v>0.0</v>
      </c>
      <c r="BP36" s="20">
        <f t="shared" si="7"/>
        <v>0</v>
      </c>
      <c r="BQ36" s="12">
        <f t="shared" si="8"/>
        <v>0</v>
      </c>
      <c r="BR36" s="17">
        <v>0.0</v>
      </c>
      <c r="BS36" s="17">
        <v>0.0</v>
      </c>
      <c r="BT36" s="17">
        <v>0.0</v>
      </c>
      <c r="BU36" s="17">
        <v>0.0</v>
      </c>
      <c r="BV36" s="17">
        <v>0.0</v>
      </c>
      <c r="BW36" s="17">
        <v>0.0</v>
      </c>
      <c r="BX36" s="17">
        <v>0.0</v>
      </c>
      <c r="BY36" s="17">
        <v>0.0</v>
      </c>
      <c r="BZ36" s="17">
        <v>0.0</v>
      </c>
      <c r="CA36" s="17">
        <v>0.0</v>
      </c>
      <c r="CB36" s="17">
        <v>0.0</v>
      </c>
      <c r="CC36" s="17">
        <v>0.0</v>
      </c>
      <c r="CD36" s="17">
        <v>0.0</v>
      </c>
      <c r="CE36" s="17">
        <v>0.0</v>
      </c>
      <c r="CF36" s="17">
        <v>0.0</v>
      </c>
      <c r="CG36" s="17">
        <v>0.0</v>
      </c>
      <c r="CH36" s="17">
        <v>0.0</v>
      </c>
      <c r="CI36" s="17">
        <v>0.0</v>
      </c>
      <c r="CJ36" s="17">
        <v>0.0</v>
      </c>
      <c r="CK36" s="17">
        <v>0.0</v>
      </c>
      <c r="CL36" s="17">
        <v>0.0</v>
      </c>
      <c r="CM36" s="17">
        <v>0.0</v>
      </c>
      <c r="CN36" s="17">
        <v>0.0</v>
      </c>
      <c r="CO36" s="17">
        <v>0.0</v>
      </c>
      <c r="CP36" s="21">
        <f t="shared" si="9"/>
        <v>0</v>
      </c>
      <c r="CQ36" s="14">
        <f t="shared" si="10"/>
        <v>0</v>
      </c>
      <c r="CR36" s="21">
        <f t="shared" si="11"/>
        <v>15</v>
      </c>
      <c r="CS36" s="14">
        <f t="shared" si="12"/>
        <v>0.1</v>
      </c>
    </row>
    <row r="37" ht="22.5" customHeight="1">
      <c r="A37" s="16">
        <v>46140.35969384259</v>
      </c>
      <c r="B37" s="17" t="s">
        <v>362</v>
      </c>
      <c r="C37" s="18">
        <v>0.0</v>
      </c>
      <c r="D37" s="17" t="s">
        <v>363</v>
      </c>
      <c r="E37" s="19" t="s">
        <v>364</v>
      </c>
      <c r="F37" s="17" t="s">
        <v>221</v>
      </c>
      <c r="G37" s="17" t="s">
        <v>365</v>
      </c>
      <c r="H37" s="17" t="s">
        <v>216</v>
      </c>
      <c r="I37" s="17" t="s">
        <v>194</v>
      </c>
      <c r="J37" s="17" t="s">
        <v>227</v>
      </c>
      <c r="K37" s="17">
        <v>1.0</v>
      </c>
      <c r="L37" s="17">
        <v>0.0</v>
      </c>
      <c r="M37" s="17">
        <v>1.0</v>
      </c>
      <c r="N37" s="17">
        <v>0.0</v>
      </c>
      <c r="O37" s="17">
        <v>0.0</v>
      </c>
      <c r="P37" s="17">
        <v>0.0</v>
      </c>
      <c r="Q37" s="17">
        <v>2.0</v>
      </c>
      <c r="R37" s="17">
        <v>0.0</v>
      </c>
      <c r="S37" s="17">
        <v>1.0</v>
      </c>
      <c r="T37" s="17">
        <v>1.0</v>
      </c>
      <c r="U37" s="17">
        <v>1.0</v>
      </c>
      <c r="V37" s="17">
        <v>1.0</v>
      </c>
      <c r="W37" s="17">
        <v>1.0</v>
      </c>
      <c r="X37" s="17">
        <v>1.0</v>
      </c>
      <c r="Y37" s="17">
        <v>0.0</v>
      </c>
      <c r="Z37" s="17">
        <v>0.0</v>
      </c>
      <c r="AA37" s="17">
        <v>0.0</v>
      </c>
      <c r="AB37" s="20">
        <f t="shared" si="1"/>
        <v>10</v>
      </c>
      <c r="AC37" s="14">
        <f t="shared" si="2"/>
        <v>0.2941176471</v>
      </c>
      <c r="AD37" s="17">
        <v>0.0</v>
      </c>
      <c r="AE37" s="17">
        <v>0.0</v>
      </c>
      <c r="AF37" s="17">
        <v>0.0</v>
      </c>
      <c r="AG37" s="17">
        <v>0.0</v>
      </c>
      <c r="AH37" s="17">
        <v>0.0</v>
      </c>
      <c r="AI37" s="17">
        <v>0.0</v>
      </c>
      <c r="AJ37" s="17">
        <v>0.0</v>
      </c>
      <c r="AK37" s="17">
        <v>0.0</v>
      </c>
      <c r="AL37" s="17">
        <v>0.0</v>
      </c>
      <c r="AM37" s="17">
        <v>0.0</v>
      </c>
      <c r="AN37" s="17">
        <v>0.0</v>
      </c>
      <c r="AO37" s="17">
        <v>0.0</v>
      </c>
      <c r="AP37" s="17">
        <v>0.0</v>
      </c>
      <c r="AQ37" s="17">
        <v>0.0</v>
      </c>
      <c r="AR37" s="17">
        <v>0.0</v>
      </c>
      <c r="AS37" s="20">
        <f t="shared" si="3"/>
        <v>0</v>
      </c>
      <c r="AT37" s="14">
        <f t="shared" si="4"/>
        <v>0</v>
      </c>
      <c r="AU37" s="17">
        <v>1.0</v>
      </c>
      <c r="AV37" s="17">
        <v>1.0</v>
      </c>
      <c r="AW37" s="17">
        <v>0.0</v>
      </c>
      <c r="AX37" s="17">
        <v>0.0</v>
      </c>
      <c r="AY37" s="17">
        <v>1.0</v>
      </c>
      <c r="AZ37" s="17">
        <v>0.0</v>
      </c>
      <c r="BA37" s="17">
        <v>0.0</v>
      </c>
      <c r="BB37" s="17">
        <v>0.0</v>
      </c>
      <c r="BC37" s="17">
        <v>0.0</v>
      </c>
      <c r="BD37" s="17">
        <v>0.0</v>
      </c>
      <c r="BE37" s="17">
        <v>0.0</v>
      </c>
      <c r="BF37" s="17">
        <v>0.0</v>
      </c>
      <c r="BG37" s="17">
        <v>0.0</v>
      </c>
      <c r="BH37" s="17">
        <v>0.0</v>
      </c>
      <c r="BI37" s="17">
        <v>0.0</v>
      </c>
      <c r="BJ37" s="20">
        <f t="shared" si="5"/>
        <v>3</v>
      </c>
      <c r="BK37" s="12">
        <f t="shared" si="6"/>
        <v>0.1071428571</v>
      </c>
      <c r="BL37" s="17">
        <v>0.0</v>
      </c>
      <c r="BM37" s="17">
        <v>0.0</v>
      </c>
      <c r="BN37" s="17">
        <v>0.0</v>
      </c>
      <c r="BO37" s="17">
        <v>0.0</v>
      </c>
      <c r="BP37" s="20">
        <f t="shared" si="7"/>
        <v>0</v>
      </c>
      <c r="BQ37" s="12">
        <f t="shared" si="8"/>
        <v>0</v>
      </c>
      <c r="BR37" s="17">
        <v>0.0</v>
      </c>
      <c r="BS37" s="17">
        <v>0.0</v>
      </c>
      <c r="BT37" s="17">
        <v>0.0</v>
      </c>
      <c r="BU37" s="17">
        <v>0.0</v>
      </c>
      <c r="BV37" s="17">
        <v>0.0</v>
      </c>
      <c r="BW37" s="17">
        <v>0.0</v>
      </c>
      <c r="BX37" s="17">
        <v>0.0</v>
      </c>
      <c r="BY37" s="17">
        <v>0.0</v>
      </c>
      <c r="BZ37" s="17">
        <v>0.0</v>
      </c>
      <c r="CA37" s="17">
        <v>0.0</v>
      </c>
      <c r="CB37" s="17">
        <v>0.0</v>
      </c>
      <c r="CC37" s="17">
        <v>0.0</v>
      </c>
      <c r="CD37" s="17">
        <v>0.0</v>
      </c>
      <c r="CE37" s="17">
        <v>0.0</v>
      </c>
      <c r="CF37" s="17">
        <v>0.0</v>
      </c>
      <c r="CG37" s="17">
        <v>0.0</v>
      </c>
      <c r="CH37" s="17">
        <v>0.0</v>
      </c>
      <c r="CI37" s="17">
        <v>0.0</v>
      </c>
      <c r="CJ37" s="17">
        <v>0.0</v>
      </c>
      <c r="CK37" s="17">
        <v>0.0</v>
      </c>
      <c r="CL37" s="17">
        <v>0.0</v>
      </c>
      <c r="CM37" s="17">
        <v>0.0</v>
      </c>
      <c r="CN37" s="17">
        <v>0.0</v>
      </c>
      <c r="CO37" s="17">
        <v>0.0</v>
      </c>
      <c r="CP37" s="21">
        <f t="shared" si="9"/>
        <v>0</v>
      </c>
      <c r="CQ37" s="14">
        <f t="shared" si="10"/>
        <v>0</v>
      </c>
      <c r="CR37" s="21">
        <f t="shared" si="11"/>
        <v>13</v>
      </c>
      <c r="CS37" s="14">
        <f t="shared" si="12"/>
        <v>0.08666666667</v>
      </c>
    </row>
    <row r="38" ht="22.5" customHeight="1">
      <c r="A38" s="16">
        <v>46140.49221621528</v>
      </c>
      <c r="B38" s="17" t="s">
        <v>366</v>
      </c>
      <c r="C38" s="18">
        <v>0.0</v>
      </c>
      <c r="D38" s="17" t="s">
        <v>367</v>
      </c>
      <c r="E38" s="19" t="s">
        <v>368</v>
      </c>
      <c r="F38" s="17" t="s">
        <v>237</v>
      </c>
      <c r="G38" s="17" t="s">
        <v>369</v>
      </c>
      <c r="H38" s="17" t="s">
        <v>250</v>
      </c>
      <c r="I38" s="17" t="s">
        <v>194</v>
      </c>
      <c r="J38" s="17" t="s">
        <v>195</v>
      </c>
      <c r="K38" s="17">
        <v>2.0</v>
      </c>
      <c r="L38" s="17">
        <v>2.0</v>
      </c>
      <c r="M38" s="17">
        <v>2.0</v>
      </c>
      <c r="N38" s="17">
        <v>2.0</v>
      </c>
      <c r="O38" s="17">
        <v>1.0</v>
      </c>
      <c r="P38" s="17">
        <v>1.0</v>
      </c>
      <c r="Q38" s="17">
        <v>0.0</v>
      </c>
      <c r="R38" s="17">
        <v>1.0</v>
      </c>
      <c r="S38" s="17">
        <v>1.0</v>
      </c>
      <c r="T38" s="17">
        <v>0.0</v>
      </c>
      <c r="U38" s="17">
        <v>1.0</v>
      </c>
      <c r="V38" s="17">
        <v>1.0</v>
      </c>
      <c r="W38" s="17">
        <v>1.0</v>
      </c>
      <c r="X38" s="17">
        <v>1.0</v>
      </c>
      <c r="Y38" s="17">
        <v>1.0</v>
      </c>
      <c r="Z38" s="17">
        <v>1.0</v>
      </c>
      <c r="AA38" s="17">
        <v>0.0</v>
      </c>
      <c r="AB38" s="20">
        <f t="shared" si="1"/>
        <v>18</v>
      </c>
      <c r="AC38" s="14">
        <f t="shared" si="2"/>
        <v>0.5294117647</v>
      </c>
      <c r="AD38" s="17">
        <v>0.0</v>
      </c>
      <c r="AE38" s="17">
        <v>0.0</v>
      </c>
      <c r="AF38" s="17">
        <v>0.0</v>
      </c>
      <c r="AG38" s="17">
        <v>0.0</v>
      </c>
      <c r="AH38" s="17">
        <v>0.0</v>
      </c>
      <c r="AI38" s="17">
        <v>0.0</v>
      </c>
      <c r="AJ38" s="17">
        <v>1.0</v>
      </c>
      <c r="AK38" s="17">
        <v>0.0</v>
      </c>
      <c r="AL38" s="17">
        <v>0.0</v>
      </c>
      <c r="AM38" s="17">
        <v>0.0</v>
      </c>
      <c r="AN38" s="17">
        <v>1.0</v>
      </c>
      <c r="AO38" s="17">
        <v>0.0</v>
      </c>
      <c r="AP38" s="17">
        <v>0.0</v>
      </c>
      <c r="AQ38" s="17">
        <v>0.0</v>
      </c>
      <c r="AR38" s="17">
        <v>0.0</v>
      </c>
      <c r="AS38" s="20">
        <f t="shared" si="3"/>
        <v>2</v>
      </c>
      <c r="AT38" s="14">
        <f t="shared" si="4"/>
        <v>0.06666666667</v>
      </c>
      <c r="AU38" s="17">
        <v>1.0</v>
      </c>
      <c r="AV38" s="17">
        <v>0.0</v>
      </c>
      <c r="AW38" s="17">
        <v>0.0</v>
      </c>
      <c r="AX38" s="17">
        <v>0.0</v>
      </c>
      <c r="AY38" s="17">
        <v>0.0</v>
      </c>
      <c r="AZ38" s="17">
        <v>0.0</v>
      </c>
      <c r="BA38" s="17">
        <v>1.0</v>
      </c>
      <c r="BB38" s="17">
        <v>1.0</v>
      </c>
      <c r="BC38" s="17">
        <v>0.0</v>
      </c>
      <c r="BD38" s="17">
        <v>0.0</v>
      </c>
      <c r="BE38" s="17">
        <v>0.0</v>
      </c>
      <c r="BF38" s="17">
        <v>0.0</v>
      </c>
      <c r="BG38" s="17">
        <v>0.0</v>
      </c>
      <c r="BH38" s="17">
        <v>0.0</v>
      </c>
      <c r="BI38" s="17">
        <v>0.0</v>
      </c>
      <c r="BJ38" s="20">
        <f t="shared" si="5"/>
        <v>3</v>
      </c>
      <c r="BK38" s="12">
        <f t="shared" si="6"/>
        <v>0.1071428571</v>
      </c>
      <c r="BL38" s="17">
        <v>0.0</v>
      </c>
      <c r="BM38" s="17">
        <v>0.0</v>
      </c>
      <c r="BN38" s="17">
        <v>0.0</v>
      </c>
      <c r="BO38" s="17">
        <v>1.0</v>
      </c>
      <c r="BP38" s="20">
        <f t="shared" si="7"/>
        <v>1</v>
      </c>
      <c r="BQ38" s="12">
        <f t="shared" si="8"/>
        <v>0.125</v>
      </c>
      <c r="BR38" s="17">
        <v>0.0</v>
      </c>
      <c r="BS38" s="17">
        <v>0.0</v>
      </c>
      <c r="BT38" s="17">
        <v>1.0</v>
      </c>
      <c r="BU38" s="17">
        <v>0.0</v>
      </c>
      <c r="BV38" s="17">
        <v>0.0</v>
      </c>
      <c r="BW38" s="17">
        <v>0.0</v>
      </c>
      <c r="BX38" s="17">
        <v>0.0</v>
      </c>
      <c r="BY38" s="17">
        <v>0.0</v>
      </c>
      <c r="BZ38" s="17">
        <v>0.0</v>
      </c>
      <c r="CA38" s="17">
        <v>0.0</v>
      </c>
      <c r="CB38" s="17">
        <v>0.0</v>
      </c>
      <c r="CC38" s="17">
        <v>1.0</v>
      </c>
      <c r="CD38" s="17">
        <v>1.0</v>
      </c>
      <c r="CE38" s="17">
        <v>1.0</v>
      </c>
      <c r="CF38" s="17">
        <v>1.0</v>
      </c>
      <c r="CG38" s="17">
        <v>0.0</v>
      </c>
      <c r="CH38" s="17">
        <v>0.0</v>
      </c>
      <c r="CI38" s="17">
        <v>0.0</v>
      </c>
      <c r="CJ38" s="17">
        <v>0.0</v>
      </c>
      <c r="CK38" s="17">
        <v>0.0</v>
      </c>
      <c r="CL38" s="17">
        <v>0.0</v>
      </c>
      <c r="CM38" s="17">
        <v>0.0</v>
      </c>
      <c r="CN38" s="17">
        <v>0.0</v>
      </c>
      <c r="CO38" s="17">
        <v>0.0</v>
      </c>
      <c r="CP38" s="21">
        <f t="shared" si="9"/>
        <v>5</v>
      </c>
      <c r="CQ38" s="14">
        <f t="shared" si="10"/>
        <v>0.1041666667</v>
      </c>
      <c r="CR38" s="21">
        <f t="shared" si="11"/>
        <v>29</v>
      </c>
      <c r="CS38" s="14">
        <f t="shared" si="12"/>
        <v>0.1933333333</v>
      </c>
    </row>
    <row r="39" ht="22.5" customHeight="1">
      <c r="A39" s="16">
        <v>46140.71682354167</v>
      </c>
      <c r="B39" s="17" t="s">
        <v>370</v>
      </c>
      <c r="C39" s="18">
        <v>0.0</v>
      </c>
      <c r="D39" s="17" t="s">
        <v>371</v>
      </c>
      <c r="E39" s="19" t="s">
        <v>372</v>
      </c>
      <c r="F39" s="17" t="s">
        <v>373</v>
      </c>
      <c r="G39" s="17" t="s">
        <v>374</v>
      </c>
      <c r="H39" s="17" t="s">
        <v>193</v>
      </c>
      <c r="I39" s="17" t="s">
        <v>194</v>
      </c>
      <c r="J39" s="17" t="s">
        <v>195</v>
      </c>
      <c r="K39" s="17">
        <v>1.0</v>
      </c>
      <c r="L39" s="17">
        <v>1.0</v>
      </c>
      <c r="M39" s="17">
        <v>1.0</v>
      </c>
      <c r="N39" s="17">
        <v>0.0</v>
      </c>
      <c r="O39" s="17">
        <v>0.0</v>
      </c>
      <c r="P39" s="17">
        <v>0.0</v>
      </c>
      <c r="Q39" s="17">
        <v>0.0</v>
      </c>
      <c r="R39" s="17">
        <v>1.0</v>
      </c>
      <c r="S39" s="17">
        <v>2.0</v>
      </c>
      <c r="T39" s="17">
        <v>0.0</v>
      </c>
      <c r="U39" s="17">
        <v>2.0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20">
        <f t="shared" si="1"/>
        <v>8</v>
      </c>
      <c r="AC39" s="14">
        <f t="shared" si="2"/>
        <v>0.2352941176</v>
      </c>
      <c r="AD39" s="17">
        <v>0.0</v>
      </c>
      <c r="AE39" s="17">
        <v>0.0</v>
      </c>
      <c r="AF39" s="17">
        <v>0.0</v>
      </c>
      <c r="AG39" s="17">
        <v>0.0</v>
      </c>
      <c r="AH39" s="17">
        <v>0.0</v>
      </c>
      <c r="AI39" s="17">
        <v>0.0</v>
      </c>
      <c r="AJ39" s="17">
        <v>2.0</v>
      </c>
      <c r="AK39" s="17">
        <v>0.0</v>
      </c>
      <c r="AL39" s="17">
        <v>0.0</v>
      </c>
      <c r="AM39" s="17">
        <v>0.0</v>
      </c>
      <c r="AN39" s="17">
        <v>0.0</v>
      </c>
      <c r="AO39" s="17">
        <v>0.0</v>
      </c>
      <c r="AP39" s="17">
        <v>2.0</v>
      </c>
      <c r="AQ39" s="17">
        <v>0.0</v>
      </c>
      <c r="AR39" s="17">
        <v>0.0</v>
      </c>
      <c r="AS39" s="20">
        <f t="shared" si="3"/>
        <v>4</v>
      </c>
      <c r="AT39" s="14">
        <f t="shared" si="4"/>
        <v>0.1333333333</v>
      </c>
      <c r="AU39" s="17">
        <v>2.0</v>
      </c>
      <c r="AV39" s="17">
        <v>2.0</v>
      </c>
      <c r="AW39" s="17">
        <v>2.0</v>
      </c>
      <c r="AX39" s="17">
        <v>0.0</v>
      </c>
      <c r="AY39" s="17">
        <v>2.0</v>
      </c>
      <c r="AZ39" s="17">
        <v>0.0</v>
      </c>
      <c r="BA39" s="17">
        <v>0.0</v>
      </c>
      <c r="BB39" s="17">
        <v>2.0</v>
      </c>
      <c r="BC39" s="17">
        <v>0.0</v>
      </c>
      <c r="BD39" s="17">
        <v>0.0</v>
      </c>
      <c r="BE39" s="17">
        <v>0.0</v>
      </c>
      <c r="BF39" s="17">
        <v>2.0</v>
      </c>
      <c r="BG39" s="17">
        <v>2.0</v>
      </c>
      <c r="BH39" s="17">
        <v>0.0</v>
      </c>
      <c r="BI39" s="17">
        <v>0.0</v>
      </c>
      <c r="BJ39" s="20">
        <f t="shared" si="5"/>
        <v>14</v>
      </c>
      <c r="BK39" s="12">
        <f t="shared" si="6"/>
        <v>0.5</v>
      </c>
      <c r="BL39" s="17">
        <v>0.0</v>
      </c>
      <c r="BM39" s="17">
        <v>0.0</v>
      </c>
      <c r="BN39" s="17">
        <v>0.0</v>
      </c>
      <c r="BO39" s="17">
        <v>2.0</v>
      </c>
      <c r="BP39" s="20">
        <f t="shared" si="7"/>
        <v>2</v>
      </c>
      <c r="BQ39" s="12">
        <f t="shared" si="8"/>
        <v>0.25</v>
      </c>
      <c r="BR39" s="17">
        <v>0.0</v>
      </c>
      <c r="BS39" s="17">
        <v>0.0</v>
      </c>
      <c r="BT39" s="17">
        <v>0.0</v>
      </c>
      <c r="BU39" s="17">
        <v>2.0</v>
      </c>
      <c r="BV39" s="17">
        <v>2.0</v>
      </c>
      <c r="BW39" s="17">
        <v>2.0</v>
      </c>
      <c r="BX39" s="17">
        <v>0.0</v>
      </c>
      <c r="BY39" s="17">
        <v>2.0</v>
      </c>
      <c r="BZ39" s="17">
        <v>0.0</v>
      </c>
      <c r="CA39" s="17">
        <v>0.0</v>
      </c>
      <c r="CB39" s="17">
        <v>0.0</v>
      </c>
      <c r="CC39" s="17">
        <v>2.0</v>
      </c>
      <c r="CD39" s="17">
        <v>2.0</v>
      </c>
      <c r="CE39" s="17">
        <v>0.0</v>
      </c>
      <c r="CF39" s="17">
        <v>2.0</v>
      </c>
      <c r="CG39" s="17">
        <v>0.0</v>
      </c>
      <c r="CH39" s="17">
        <v>0.0</v>
      </c>
      <c r="CI39" s="17">
        <v>0.0</v>
      </c>
      <c r="CJ39" s="17">
        <v>0.0</v>
      </c>
      <c r="CK39" s="17">
        <v>0.0</v>
      </c>
      <c r="CL39" s="17">
        <v>0.0</v>
      </c>
      <c r="CM39" s="17">
        <v>0.0</v>
      </c>
      <c r="CN39" s="17">
        <v>2.0</v>
      </c>
      <c r="CO39" s="17">
        <v>0.0</v>
      </c>
      <c r="CP39" s="21">
        <f t="shared" si="9"/>
        <v>16</v>
      </c>
      <c r="CQ39" s="14">
        <f t="shared" si="10"/>
        <v>0.3333333333</v>
      </c>
      <c r="CR39" s="21">
        <f t="shared" si="11"/>
        <v>44</v>
      </c>
      <c r="CS39" s="14">
        <f t="shared" si="12"/>
        <v>0.2933333333</v>
      </c>
    </row>
    <row r="40" ht="22.5" customHeight="1">
      <c r="A40" s="16">
        <v>46140.812009270834</v>
      </c>
      <c r="B40" s="17" t="s">
        <v>375</v>
      </c>
      <c r="C40" s="18">
        <v>0.0</v>
      </c>
      <c r="D40" s="17" t="s">
        <v>376</v>
      </c>
      <c r="E40" s="19" t="s">
        <v>377</v>
      </c>
      <c r="F40" s="17" t="s">
        <v>208</v>
      </c>
      <c r="G40" s="17" t="s">
        <v>378</v>
      </c>
      <c r="H40" s="17" t="s">
        <v>193</v>
      </c>
      <c r="I40" s="17" t="s">
        <v>194</v>
      </c>
      <c r="J40" s="17" t="s">
        <v>304</v>
      </c>
      <c r="K40" s="17">
        <v>1.0</v>
      </c>
      <c r="L40" s="17">
        <v>1.0</v>
      </c>
      <c r="M40" s="17">
        <v>1.0</v>
      </c>
      <c r="N40" s="17">
        <v>1.0</v>
      </c>
      <c r="O40" s="17">
        <v>2.0</v>
      </c>
      <c r="P40" s="17">
        <v>1.0</v>
      </c>
      <c r="Q40" s="17">
        <v>1.0</v>
      </c>
      <c r="R40" s="17">
        <v>1.0</v>
      </c>
      <c r="S40" s="17">
        <v>1.0</v>
      </c>
      <c r="T40" s="17">
        <v>1.0</v>
      </c>
      <c r="U40" s="17">
        <v>1.0</v>
      </c>
      <c r="V40" s="17">
        <v>1.0</v>
      </c>
      <c r="W40" s="17">
        <v>1.0</v>
      </c>
      <c r="X40" s="17">
        <v>1.0</v>
      </c>
      <c r="Y40" s="17">
        <v>1.0</v>
      </c>
      <c r="Z40" s="17">
        <v>1.0</v>
      </c>
      <c r="AA40" s="17">
        <v>1.0</v>
      </c>
      <c r="AB40" s="20">
        <f t="shared" si="1"/>
        <v>18</v>
      </c>
      <c r="AC40" s="14">
        <f t="shared" si="2"/>
        <v>0.5294117647</v>
      </c>
      <c r="AD40" s="17">
        <v>1.0</v>
      </c>
      <c r="AE40" s="17">
        <v>1.0</v>
      </c>
      <c r="AF40" s="17">
        <v>1.0</v>
      </c>
      <c r="AG40" s="17">
        <v>1.0</v>
      </c>
      <c r="AH40" s="17">
        <v>1.0</v>
      </c>
      <c r="AI40" s="17">
        <v>1.0</v>
      </c>
      <c r="AJ40" s="17">
        <v>1.0</v>
      </c>
      <c r="AK40" s="17">
        <v>0.0</v>
      </c>
      <c r="AL40" s="17">
        <v>0.0</v>
      </c>
      <c r="AM40" s="17">
        <v>0.0</v>
      </c>
      <c r="AN40" s="17">
        <v>0.0</v>
      </c>
      <c r="AO40" s="17">
        <v>0.0</v>
      </c>
      <c r="AP40" s="17">
        <v>1.0</v>
      </c>
      <c r="AQ40" s="17">
        <v>0.0</v>
      </c>
      <c r="AR40" s="17">
        <v>0.0</v>
      </c>
      <c r="AS40" s="20">
        <f t="shared" si="3"/>
        <v>8</v>
      </c>
      <c r="AT40" s="14">
        <f t="shared" si="4"/>
        <v>0.2666666667</v>
      </c>
      <c r="AU40" s="17">
        <v>1.0</v>
      </c>
      <c r="AV40" s="17">
        <v>0.0</v>
      </c>
      <c r="AW40" s="17">
        <v>1.0</v>
      </c>
      <c r="AX40" s="17">
        <v>0.0</v>
      </c>
      <c r="AY40" s="17">
        <v>0.0</v>
      </c>
      <c r="AZ40" s="17">
        <v>0.0</v>
      </c>
      <c r="BA40" s="17">
        <v>1.0</v>
      </c>
      <c r="BB40" s="17">
        <v>0.0</v>
      </c>
      <c r="BC40" s="17">
        <v>0.0</v>
      </c>
      <c r="BD40" s="17">
        <v>1.0</v>
      </c>
      <c r="BE40" s="17">
        <v>0.0</v>
      </c>
      <c r="BF40" s="17">
        <v>2.0</v>
      </c>
      <c r="BG40" s="17">
        <v>1.0</v>
      </c>
      <c r="BH40" s="17">
        <v>1.0</v>
      </c>
      <c r="BI40" s="17">
        <v>1.0</v>
      </c>
      <c r="BJ40" s="20">
        <f t="shared" si="5"/>
        <v>9</v>
      </c>
      <c r="BK40" s="12">
        <f t="shared" si="6"/>
        <v>0.3214285714</v>
      </c>
      <c r="BL40" s="17">
        <v>0.0</v>
      </c>
      <c r="BM40" s="17">
        <v>1.0</v>
      </c>
      <c r="BN40" s="17">
        <v>1.0</v>
      </c>
      <c r="BO40" s="17">
        <v>1.0</v>
      </c>
      <c r="BP40" s="20">
        <f t="shared" si="7"/>
        <v>3</v>
      </c>
      <c r="BQ40" s="12">
        <f t="shared" si="8"/>
        <v>0.375</v>
      </c>
      <c r="BR40" s="17">
        <v>1.0</v>
      </c>
      <c r="BS40" s="17">
        <v>1.0</v>
      </c>
      <c r="BT40" s="17">
        <v>1.0</v>
      </c>
      <c r="BU40" s="17">
        <v>1.0</v>
      </c>
      <c r="BV40" s="17">
        <v>1.0</v>
      </c>
      <c r="BW40" s="17">
        <v>1.0</v>
      </c>
      <c r="BX40" s="17">
        <v>1.0</v>
      </c>
      <c r="BY40" s="17">
        <v>1.0</v>
      </c>
      <c r="BZ40" s="17">
        <v>1.0</v>
      </c>
      <c r="CA40" s="17">
        <v>1.0</v>
      </c>
      <c r="CB40" s="17">
        <v>1.0</v>
      </c>
      <c r="CC40" s="17">
        <v>1.0</v>
      </c>
      <c r="CD40" s="17">
        <v>0.0</v>
      </c>
      <c r="CE40" s="17">
        <v>1.0</v>
      </c>
      <c r="CF40" s="17">
        <v>1.0</v>
      </c>
      <c r="CG40" s="17">
        <v>1.0</v>
      </c>
      <c r="CH40" s="17">
        <v>1.0</v>
      </c>
      <c r="CI40" s="17">
        <v>1.0</v>
      </c>
      <c r="CJ40" s="17">
        <v>1.0</v>
      </c>
      <c r="CK40" s="17">
        <v>1.0</v>
      </c>
      <c r="CL40" s="17">
        <v>1.0</v>
      </c>
      <c r="CM40" s="17">
        <v>1.0</v>
      </c>
      <c r="CN40" s="17">
        <v>1.0</v>
      </c>
      <c r="CO40" s="17">
        <v>1.0</v>
      </c>
      <c r="CP40" s="21">
        <f t="shared" si="9"/>
        <v>23</v>
      </c>
      <c r="CQ40" s="14">
        <f t="shared" si="10"/>
        <v>0.4791666667</v>
      </c>
      <c r="CR40" s="21">
        <f t="shared" si="11"/>
        <v>61</v>
      </c>
      <c r="CS40" s="14">
        <f t="shared" si="12"/>
        <v>0.4066666667</v>
      </c>
    </row>
    <row r="41" ht="22.5" customHeight="1">
      <c r="A41" s="16">
        <v>46140.961944826384</v>
      </c>
      <c r="B41" s="17" t="s">
        <v>379</v>
      </c>
      <c r="C41" s="18">
        <v>0.0</v>
      </c>
      <c r="D41" s="17" t="s">
        <v>380</v>
      </c>
      <c r="E41" s="19" t="s">
        <v>381</v>
      </c>
      <c r="F41" s="17" t="s">
        <v>382</v>
      </c>
      <c r="G41" s="17" t="s">
        <v>383</v>
      </c>
      <c r="H41" s="17" t="s">
        <v>239</v>
      </c>
      <c r="I41" s="17" t="s">
        <v>194</v>
      </c>
      <c r="J41" s="17" t="s">
        <v>195</v>
      </c>
      <c r="K41" s="17">
        <v>0.0</v>
      </c>
      <c r="L41" s="17">
        <v>0.0</v>
      </c>
      <c r="M41" s="17">
        <v>0.0</v>
      </c>
      <c r="N41" s="17">
        <v>0.0</v>
      </c>
      <c r="O41" s="17">
        <v>0.0</v>
      </c>
      <c r="P41" s="17">
        <v>0.0</v>
      </c>
      <c r="Q41" s="17">
        <v>2.0</v>
      </c>
      <c r="R41" s="17">
        <v>0.0</v>
      </c>
      <c r="S41" s="17">
        <v>1.0</v>
      </c>
      <c r="T41" s="17">
        <v>0.0</v>
      </c>
      <c r="U41" s="17">
        <v>0.0</v>
      </c>
      <c r="V41" s="17">
        <v>0.0</v>
      </c>
      <c r="W41" s="17">
        <v>0.0</v>
      </c>
      <c r="X41" s="17">
        <v>0.0</v>
      </c>
      <c r="Y41" s="17">
        <v>0.0</v>
      </c>
      <c r="Z41" s="17">
        <v>0.0</v>
      </c>
      <c r="AA41" s="17">
        <v>0.0</v>
      </c>
      <c r="AB41" s="20">
        <f t="shared" si="1"/>
        <v>3</v>
      </c>
      <c r="AC41" s="14">
        <f t="shared" si="2"/>
        <v>0.08823529412</v>
      </c>
      <c r="AD41" s="17">
        <v>0.0</v>
      </c>
      <c r="AE41" s="17">
        <v>0.0</v>
      </c>
      <c r="AF41" s="17">
        <v>0.0</v>
      </c>
      <c r="AG41" s="17">
        <v>0.0</v>
      </c>
      <c r="AH41" s="17">
        <v>0.0</v>
      </c>
      <c r="AI41" s="17">
        <v>0.0</v>
      </c>
      <c r="AJ41" s="17">
        <v>0.0</v>
      </c>
      <c r="AK41" s="17">
        <v>0.0</v>
      </c>
      <c r="AL41" s="17">
        <v>0.0</v>
      </c>
      <c r="AM41" s="17">
        <v>1.0</v>
      </c>
      <c r="AN41" s="17">
        <v>0.0</v>
      </c>
      <c r="AO41" s="17">
        <v>0.0</v>
      </c>
      <c r="AP41" s="17">
        <v>0.0</v>
      </c>
      <c r="AQ41" s="17">
        <v>0.0</v>
      </c>
      <c r="AR41" s="17">
        <v>0.0</v>
      </c>
      <c r="AS41" s="20">
        <f t="shared" si="3"/>
        <v>1</v>
      </c>
      <c r="AT41" s="14">
        <f t="shared" si="4"/>
        <v>0.03333333333</v>
      </c>
      <c r="AU41" s="17">
        <v>1.0</v>
      </c>
      <c r="AV41" s="17">
        <v>0.0</v>
      </c>
      <c r="AW41" s="17">
        <v>0.0</v>
      </c>
      <c r="AX41" s="17">
        <v>0.0</v>
      </c>
      <c r="AY41" s="17">
        <v>0.0</v>
      </c>
      <c r="AZ41" s="17">
        <v>0.0</v>
      </c>
      <c r="BA41" s="17">
        <v>0.0</v>
      </c>
      <c r="BB41" s="17">
        <v>0.0</v>
      </c>
      <c r="BC41" s="17">
        <v>0.0</v>
      </c>
      <c r="BD41" s="17">
        <v>0.0</v>
      </c>
      <c r="BE41" s="17">
        <v>0.0</v>
      </c>
      <c r="BF41" s="17">
        <v>2.0</v>
      </c>
      <c r="BG41" s="17">
        <v>0.0</v>
      </c>
      <c r="BH41" s="17">
        <v>0.0</v>
      </c>
      <c r="BI41" s="17">
        <v>0.0</v>
      </c>
      <c r="BJ41" s="20">
        <f t="shared" si="5"/>
        <v>3</v>
      </c>
      <c r="BK41" s="12">
        <f t="shared" si="6"/>
        <v>0.1071428571</v>
      </c>
      <c r="BL41" s="17">
        <v>0.0</v>
      </c>
      <c r="BM41" s="17">
        <v>0.0</v>
      </c>
      <c r="BN41" s="17">
        <v>0.0</v>
      </c>
      <c r="BO41" s="17">
        <v>0.0</v>
      </c>
      <c r="BP41" s="20">
        <f t="shared" si="7"/>
        <v>0</v>
      </c>
      <c r="BQ41" s="12">
        <f t="shared" si="8"/>
        <v>0</v>
      </c>
      <c r="BR41" s="17">
        <v>0.0</v>
      </c>
      <c r="BS41" s="17">
        <v>0.0</v>
      </c>
      <c r="BT41" s="17">
        <v>0.0</v>
      </c>
      <c r="BU41" s="17">
        <v>0.0</v>
      </c>
      <c r="BV41" s="17">
        <v>1.0</v>
      </c>
      <c r="BW41" s="17">
        <v>1.0</v>
      </c>
      <c r="BX41" s="17">
        <v>0.0</v>
      </c>
      <c r="BY41" s="17">
        <v>1.0</v>
      </c>
      <c r="BZ41" s="17">
        <v>1.0</v>
      </c>
      <c r="CA41" s="17">
        <v>0.0</v>
      </c>
      <c r="CB41" s="17">
        <v>1.0</v>
      </c>
      <c r="CC41" s="17">
        <v>0.0</v>
      </c>
      <c r="CD41" s="17">
        <v>0.0</v>
      </c>
      <c r="CE41" s="17">
        <v>0.0</v>
      </c>
      <c r="CF41" s="17">
        <v>0.0</v>
      </c>
      <c r="CG41" s="17">
        <v>1.0</v>
      </c>
      <c r="CH41" s="17">
        <v>1.0</v>
      </c>
      <c r="CI41" s="17">
        <v>1.0</v>
      </c>
      <c r="CJ41" s="17">
        <v>1.0</v>
      </c>
      <c r="CK41" s="17">
        <v>0.0</v>
      </c>
      <c r="CL41" s="17">
        <v>0.0</v>
      </c>
      <c r="CM41" s="17">
        <v>0.0</v>
      </c>
      <c r="CN41" s="17">
        <v>0.0</v>
      </c>
      <c r="CO41" s="17">
        <v>0.0</v>
      </c>
      <c r="CP41" s="21">
        <f t="shared" si="9"/>
        <v>9</v>
      </c>
      <c r="CQ41" s="14">
        <f t="shared" si="10"/>
        <v>0.1875</v>
      </c>
      <c r="CR41" s="21">
        <f t="shared" si="11"/>
        <v>16</v>
      </c>
      <c r="CS41" s="14">
        <f t="shared" si="12"/>
        <v>0.1066666667</v>
      </c>
    </row>
    <row r="42" ht="22.5" customHeight="1">
      <c r="A42" s="16">
        <v>46141.27367712963</v>
      </c>
      <c r="B42" s="17" t="s">
        <v>384</v>
      </c>
      <c r="C42" s="18">
        <v>0.0</v>
      </c>
      <c r="D42" s="17" t="s">
        <v>385</v>
      </c>
      <c r="E42" s="19" t="s">
        <v>386</v>
      </c>
      <c r="F42" s="17" t="s">
        <v>387</v>
      </c>
      <c r="G42" s="17" t="s">
        <v>388</v>
      </c>
      <c r="H42" s="17" t="s">
        <v>250</v>
      </c>
      <c r="I42" s="17" t="s">
        <v>194</v>
      </c>
      <c r="J42" s="17" t="s">
        <v>195</v>
      </c>
      <c r="K42" s="17">
        <v>0.0</v>
      </c>
      <c r="L42" s="17">
        <v>0.0</v>
      </c>
      <c r="M42" s="17">
        <v>0.0</v>
      </c>
      <c r="N42" s="17">
        <v>0.0</v>
      </c>
      <c r="O42" s="17">
        <v>0.0</v>
      </c>
      <c r="P42" s="17">
        <v>0.0</v>
      </c>
      <c r="Q42" s="17">
        <v>0.0</v>
      </c>
      <c r="R42" s="17">
        <v>0.0</v>
      </c>
      <c r="S42" s="17">
        <v>0.0</v>
      </c>
      <c r="T42" s="17">
        <v>0.0</v>
      </c>
      <c r="U42" s="17">
        <v>0.0</v>
      </c>
      <c r="V42" s="17">
        <v>0.0</v>
      </c>
      <c r="W42" s="17">
        <v>0.0</v>
      </c>
      <c r="X42" s="17">
        <v>0.0</v>
      </c>
      <c r="Y42" s="17">
        <v>0.0</v>
      </c>
      <c r="Z42" s="17">
        <v>0.0</v>
      </c>
      <c r="AA42" s="17">
        <v>0.0</v>
      </c>
      <c r="AB42" s="20">
        <f t="shared" si="1"/>
        <v>0</v>
      </c>
      <c r="AC42" s="14">
        <f t="shared" si="2"/>
        <v>0</v>
      </c>
      <c r="AD42" s="17">
        <v>0.0</v>
      </c>
      <c r="AE42" s="17">
        <v>0.0</v>
      </c>
      <c r="AF42" s="17">
        <v>0.0</v>
      </c>
      <c r="AG42" s="17">
        <v>0.0</v>
      </c>
      <c r="AH42" s="17">
        <v>0.0</v>
      </c>
      <c r="AI42" s="17">
        <v>0.0</v>
      </c>
      <c r="AJ42" s="17">
        <v>0.0</v>
      </c>
      <c r="AK42" s="17">
        <v>0.0</v>
      </c>
      <c r="AL42" s="17">
        <v>0.0</v>
      </c>
      <c r="AM42" s="17">
        <v>0.0</v>
      </c>
      <c r="AN42" s="17">
        <v>0.0</v>
      </c>
      <c r="AO42" s="17">
        <v>0.0</v>
      </c>
      <c r="AP42" s="17">
        <v>0.0</v>
      </c>
      <c r="AQ42" s="17">
        <v>0.0</v>
      </c>
      <c r="AR42" s="17">
        <v>0.0</v>
      </c>
      <c r="AS42" s="20">
        <f t="shared" si="3"/>
        <v>0</v>
      </c>
      <c r="AT42" s="14">
        <f t="shared" si="4"/>
        <v>0</v>
      </c>
      <c r="AU42" s="17">
        <v>1.0</v>
      </c>
      <c r="AV42" s="17">
        <v>0.0</v>
      </c>
      <c r="AW42" s="17">
        <v>0.0</v>
      </c>
      <c r="AX42" s="17">
        <v>0.0</v>
      </c>
      <c r="AY42" s="17">
        <v>0.0</v>
      </c>
      <c r="AZ42" s="17">
        <v>0.0</v>
      </c>
      <c r="BA42" s="17">
        <v>0.0</v>
      </c>
      <c r="BB42" s="17">
        <v>0.0</v>
      </c>
      <c r="BC42" s="17">
        <v>0.0</v>
      </c>
      <c r="BD42" s="17">
        <v>0.0</v>
      </c>
      <c r="BE42" s="17">
        <v>0.0</v>
      </c>
      <c r="BF42" s="17">
        <v>0.0</v>
      </c>
      <c r="BG42" s="17">
        <v>0.0</v>
      </c>
      <c r="BH42" s="17">
        <v>0.0</v>
      </c>
      <c r="BI42" s="17">
        <v>0.0</v>
      </c>
      <c r="BJ42" s="20">
        <f t="shared" si="5"/>
        <v>1</v>
      </c>
      <c r="BK42" s="12">
        <f t="shared" si="6"/>
        <v>0.03571428571</v>
      </c>
      <c r="BL42" s="17">
        <v>0.0</v>
      </c>
      <c r="BM42" s="17">
        <v>0.0</v>
      </c>
      <c r="BN42" s="17">
        <v>0.0</v>
      </c>
      <c r="BO42" s="17">
        <v>0.0</v>
      </c>
      <c r="BP42" s="20">
        <f t="shared" si="7"/>
        <v>0</v>
      </c>
      <c r="BQ42" s="12">
        <f t="shared" si="8"/>
        <v>0</v>
      </c>
      <c r="BR42" s="17">
        <v>0.0</v>
      </c>
      <c r="BS42" s="17">
        <v>0.0</v>
      </c>
      <c r="BT42" s="17">
        <v>0.0</v>
      </c>
      <c r="BU42" s="17">
        <v>1.0</v>
      </c>
      <c r="BV42" s="17">
        <v>0.0</v>
      </c>
      <c r="BW42" s="17">
        <v>0.0</v>
      </c>
      <c r="BX42" s="17">
        <v>0.0</v>
      </c>
      <c r="BY42" s="17">
        <v>0.0</v>
      </c>
      <c r="BZ42" s="17">
        <v>0.0</v>
      </c>
      <c r="CA42" s="17">
        <v>0.0</v>
      </c>
      <c r="CB42" s="17">
        <v>0.0</v>
      </c>
      <c r="CC42" s="17">
        <v>0.0</v>
      </c>
      <c r="CD42" s="17">
        <v>0.0</v>
      </c>
      <c r="CE42" s="17">
        <v>0.0</v>
      </c>
      <c r="CF42" s="17">
        <v>0.0</v>
      </c>
      <c r="CG42" s="17">
        <v>0.0</v>
      </c>
      <c r="CH42" s="17">
        <v>0.0</v>
      </c>
      <c r="CI42" s="17">
        <v>0.0</v>
      </c>
      <c r="CJ42" s="17">
        <v>0.0</v>
      </c>
      <c r="CK42" s="17">
        <v>0.0</v>
      </c>
      <c r="CL42" s="17">
        <v>0.0</v>
      </c>
      <c r="CM42" s="17">
        <v>0.0</v>
      </c>
      <c r="CN42" s="17">
        <v>0.0</v>
      </c>
      <c r="CO42" s="17">
        <v>0.0</v>
      </c>
      <c r="CP42" s="21">
        <f t="shared" si="9"/>
        <v>1</v>
      </c>
      <c r="CQ42" s="14">
        <f t="shared" si="10"/>
        <v>0.02083333333</v>
      </c>
      <c r="CR42" s="21">
        <f t="shared" si="11"/>
        <v>2</v>
      </c>
      <c r="CS42" s="14">
        <f t="shared" si="12"/>
        <v>0.01333333333</v>
      </c>
    </row>
    <row r="43" ht="22.5" customHeight="1">
      <c r="A43" s="16">
        <v>46141.34037101852</v>
      </c>
      <c r="B43" s="17" t="s">
        <v>389</v>
      </c>
      <c r="C43" s="18">
        <v>0.0</v>
      </c>
      <c r="D43" s="17" t="s">
        <v>390</v>
      </c>
      <c r="E43" s="19" t="s">
        <v>391</v>
      </c>
      <c r="F43" s="17" t="s">
        <v>237</v>
      </c>
      <c r="G43" s="17" t="s">
        <v>392</v>
      </c>
      <c r="H43" s="17" t="s">
        <v>239</v>
      </c>
      <c r="I43" s="17" t="s">
        <v>194</v>
      </c>
      <c r="J43" s="17" t="s">
        <v>195</v>
      </c>
      <c r="K43" s="17">
        <v>0.0</v>
      </c>
      <c r="L43" s="17">
        <v>0.0</v>
      </c>
      <c r="M43" s="17">
        <v>0.0</v>
      </c>
      <c r="N43" s="17">
        <v>0.0</v>
      </c>
      <c r="O43" s="17">
        <v>0.0</v>
      </c>
      <c r="P43" s="17">
        <v>0.0</v>
      </c>
      <c r="Q43" s="17">
        <v>0.0</v>
      </c>
      <c r="R43" s="17">
        <v>0.0</v>
      </c>
      <c r="S43" s="17">
        <v>0.0</v>
      </c>
      <c r="T43" s="17">
        <v>0.0</v>
      </c>
      <c r="U43" s="17">
        <v>0.0</v>
      </c>
      <c r="V43" s="17">
        <v>0.0</v>
      </c>
      <c r="W43" s="17">
        <v>0.0</v>
      </c>
      <c r="X43" s="17">
        <v>0.0</v>
      </c>
      <c r="Y43" s="17">
        <v>0.0</v>
      </c>
      <c r="Z43" s="17">
        <v>0.0</v>
      </c>
      <c r="AA43" s="17">
        <v>0.0</v>
      </c>
      <c r="AB43" s="20">
        <f t="shared" si="1"/>
        <v>0</v>
      </c>
      <c r="AC43" s="14">
        <f t="shared" si="2"/>
        <v>0</v>
      </c>
      <c r="AD43" s="17">
        <v>0.0</v>
      </c>
      <c r="AE43" s="17">
        <v>0.0</v>
      </c>
      <c r="AF43" s="17">
        <v>0.0</v>
      </c>
      <c r="AG43" s="17">
        <v>0.0</v>
      </c>
      <c r="AH43" s="17">
        <v>0.0</v>
      </c>
      <c r="AI43" s="17">
        <v>0.0</v>
      </c>
      <c r="AJ43" s="17">
        <v>0.0</v>
      </c>
      <c r="AK43" s="17">
        <v>0.0</v>
      </c>
      <c r="AL43" s="17">
        <v>0.0</v>
      </c>
      <c r="AM43" s="17">
        <v>0.0</v>
      </c>
      <c r="AN43" s="17">
        <v>0.0</v>
      </c>
      <c r="AO43" s="17">
        <v>0.0</v>
      </c>
      <c r="AP43" s="17">
        <v>0.0</v>
      </c>
      <c r="AQ43" s="17">
        <v>0.0</v>
      </c>
      <c r="AR43" s="17">
        <v>0.0</v>
      </c>
      <c r="AS43" s="20">
        <f t="shared" si="3"/>
        <v>0</v>
      </c>
      <c r="AT43" s="14">
        <f t="shared" si="4"/>
        <v>0</v>
      </c>
      <c r="AU43" s="17">
        <v>0.0</v>
      </c>
      <c r="AV43" s="17">
        <v>0.0</v>
      </c>
      <c r="AW43" s="17">
        <v>0.0</v>
      </c>
      <c r="AX43" s="17">
        <v>0.0</v>
      </c>
      <c r="AY43" s="17">
        <v>0.0</v>
      </c>
      <c r="AZ43" s="17">
        <v>0.0</v>
      </c>
      <c r="BA43" s="17">
        <v>0.0</v>
      </c>
      <c r="BB43" s="17">
        <v>0.0</v>
      </c>
      <c r="BC43" s="17">
        <v>0.0</v>
      </c>
      <c r="BD43" s="17">
        <v>0.0</v>
      </c>
      <c r="BE43" s="17">
        <v>0.0</v>
      </c>
      <c r="BF43" s="17">
        <v>0.0</v>
      </c>
      <c r="BG43" s="17">
        <v>0.0</v>
      </c>
      <c r="BH43" s="17">
        <v>0.0</v>
      </c>
      <c r="BI43" s="17">
        <v>0.0</v>
      </c>
      <c r="BJ43" s="20">
        <f t="shared" si="5"/>
        <v>0</v>
      </c>
      <c r="BK43" s="12">
        <f t="shared" si="6"/>
        <v>0</v>
      </c>
      <c r="BL43" s="17">
        <v>0.0</v>
      </c>
      <c r="BM43" s="17">
        <v>0.0</v>
      </c>
      <c r="BN43" s="17">
        <v>0.0</v>
      </c>
      <c r="BO43" s="17">
        <v>0.0</v>
      </c>
      <c r="BP43" s="20">
        <f t="shared" si="7"/>
        <v>0</v>
      </c>
      <c r="BQ43" s="12">
        <f t="shared" si="8"/>
        <v>0</v>
      </c>
      <c r="BR43" s="17">
        <v>0.0</v>
      </c>
      <c r="BS43" s="17">
        <v>0.0</v>
      </c>
      <c r="BT43" s="17">
        <v>0.0</v>
      </c>
      <c r="BU43" s="17">
        <v>0.0</v>
      </c>
      <c r="BV43" s="17">
        <v>0.0</v>
      </c>
      <c r="BW43" s="17">
        <v>0.0</v>
      </c>
      <c r="BX43" s="17">
        <v>0.0</v>
      </c>
      <c r="BY43" s="17">
        <v>0.0</v>
      </c>
      <c r="BZ43" s="17">
        <v>0.0</v>
      </c>
      <c r="CA43" s="17">
        <v>0.0</v>
      </c>
      <c r="CB43" s="17">
        <v>0.0</v>
      </c>
      <c r="CC43" s="17">
        <v>0.0</v>
      </c>
      <c r="CD43" s="17">
        <v>0.0</v>
      </c>
      <c r="CE43" s="17">
        <v>0.0</v>
      </c>
      <c r="CF43" s="17">
        <v>0.0</v>
      </c>
      <c r="CG43" s="17">
        <v>0.0</v>
      </c>
      <c r="CH43" s="17">
        <v>0.0</v>
      </c>
      <c r="CI43" s="17">
        <v>0.0</v>
      </c>
      <c r="CJ43" s="17">
        <v>0.0</v>
      </c>
      <c r="CK43" s="17">
        <v>0.0</v>
      </c>
      <c r="CL43" s="17">
        <v>0.0</v>
      </c>
      <c r="CM43" s="17">
        <v>0.0</v>
      </c>
      <c r="CN43" s="17">
        <v>0.0</v>
      </c>
      <c r="CO43" s="17">
        <v>0.0</v>
      </c>
      <c r="CP43" s="21">
        <f t="shared" si="9"/>
        <v>0</v>
      </c>
      <c r="CQ43" s="14">
        <f t="shared" si="10"/>
        <v>0</v>
      </c>
      <c r="CR43" s="21">
        <f t="shared" si="11"/>
        <v>0</v>
      </c>
      <c r="CS43" s="14">
        <f t="shared" si="12"/>
        <v>0</v>
      </c>
    </row>
    <row r="44">
      <c r="AC44" s="22"/>
      <c r="BK44" s="22"/>
    </row>
    <row r="45">
      <c r="AC45" s="22"/>
    </row>
    <row r="46">
      <c r="AC46" s="22"/>
    </row>
    <row r="47">
      <c r="AC47" s="22"/>
    </row>
    <row r="48">
      <c r="AC48" s="22"/>
    </row>
    <row r="49">
      <c r="AC49" s="22"/>
    </row>
    <row r="50">
      <c r="AC50" s="22"/>
    </row>
    <row r="51">
      <c r="AC51" s="22"/>
    </row>
    <row r="52">
      <c r="AC52" s="22"/>
    </row>
    <row r="53">
      <c r="AC53" s="22"/>
    </row>
    <row r="54">
      <c r="AC54" s="22"/>
    </row>
    <row r="55">
      <c r="AC55" s="22"/>
    </row>
    <row r="56">
      <c r="AC56" s="22"/>
    </row>
    <row r="57">
      <c r="AC57" s="22"/>
    </row>
    <row r="58">
      <c r="AC58" s="22"/>
    </row>
    <row r="59">
      <c r="AC59" s="22"/>
    </row>
    <row r="60">
      <c r="AC60" s="22"/>
    </row>
    <row r="61">
      <c r="AC61" s="22"/>
    </row>
    <row r="62">
      <c r="AC62" s="22"/>
    </row>
    <row r="63">
      <c r="AC63" s="22"/>
    </row>
    <row r="64">
      <c r="AC64" s="22"/>
    </row>
    <row r="65">
      <c r="AC65" s="22"/>
    </row>
    <row r="66">
      <c r="AC66" s="22"/>
    </row>
    <row r="67">
      <c r="AC67" s="22"/>
    </row>
    <row r="68">
      <c r="AC68" s="22"/>
    </row>
    <row r="69">
      <c r="AC69" s="22"/>
    </row>
    <row r="70">
      <c r="AC70" s="22"/>
    </row>
    <row r="71">
      <c r="AC71" s="22"/>
    </row>
    <row r="72">
      <c r="AC72" s="22"/>
    </row>
    <row r="73">
      <c r="AC73" s="22"/>
    </row>
    <row r="74">
      <c r="AC74" s="22"/>
    </row>
    <row r="75">
      <c r="AC75" s="22"/>
    </row>
    <row r="76">
      <c r="AC76" s="22"/>
    </row>
    <row r="77">
      <c r="AC77" s="22"/>
    </row>
    <row r="78">
      <c r="AC78" s="22"/>
    </row>
    <row r="79">
      <c r="AC79" s="22"/>
    </row>
    <row r="80">
      <c r="AC80" s="22"/>
    </row>
    <row r="81">
      <c r="AC81" s="22"/>
    </row>
    <row r="82">
      <c r="AC82" s="22"/>
    </row>
    <row r="83">
      <c r="AC83" s="22"/>
    </row>
    <row r="84">
      <c r="AC84" s="22"/>
    </row>
    <row r="85">
      <c r="AC85" s="22"/>
    </row>
    <row r="86">
      <c r="AC86" s="22"/>
    </row>
    <row r="87">
      <c r="AC87" s="22"/>
    </row>
    <row r="88">
      <c r="AC88" s="22"/>
    </row>
    <row r="89">
      <c r="AC89" s="22"/>
    </row>
    <row r="90">
      <c r="AC90" s="22"/>
    </row>
    <row r="91">
      <c r="AC91" s="22"/>
    </row>
    <row r="92">
      <c r="AC92" s="22"/>
    </row>
    <row r="93">
      <c r="AC93" s="22"/>
    </row>
    <row r="94">
      <c r="AC94" s="22"/>
    </row>
    <row r="95">
      <c r="AC95" s="22"/>
    </row>
    <row r="96">
      <c r="AC96" s="22"/>
    </row>
    <row r="97">
      <c r="AC97" s="22"/>
    </row>
    <row r="98">
      <c r="AC98" s="22"/>
    </row>
    <row r="99">
      <c r="AC99" s="22"/>
    </row>
    <row r="100">
      <c r="AC100" s="22"/>
    </row>
    <row r="101">
      <c r="AC101" s="22"/>
    </row>
    <row r="102">
      <c r="AC102" s="22"/>
    </row>
    <row r="103">
      <c r="AC103" s="22"/>
    </row>
    <row r="104">
      <c r="AC104" s="22"/>
    </row>
    <row r="105">
      <c r="AC105" s="22"/>
    </row>
    <row r="106">
      <c r="AC106" s="22"/>
    </row>
    <row r="107">
      <c r="AC107" s="22"/>
    </row>
    <row r="108">
      <c r="AC108" s="22"/>
    </row>
    <row r="109">
      <c r="AC109" s="22"/>
    </row>
    <row r="110">
      <c r="AC110" s="22"/>
    </row>
    <row r="111">
      <c r="AC111" s="22"/>
    </row>
    <row r="112">
      <c r="AC112" s="22"/>
    </row>
    <row r="113">
      <c r="AC113" s="22"/>
    </row>
    <row r="114">
      <c r="AC114" s="22"/>
    </row>
    <row r="115">
      <c r="AC115" s="22"/>
    </row>
    <row r="116">
      <c r="AC116" s="22"/>
    </row>
    <row r="117">
      <c r="AC117" s="22"/>
    </row>
    <row r="118">
      <c r="AC118" s="22"/>
    </row>
    <row r="119">
      <c r="AC119" s="22"/>
    </row>
    <row r="120">
      <c r="AC120" s="22"/>
    </row>
    <row r="121">
      <c r="AC121" s="22"/>
    </row>
    <row r="122">
      <c r="AC122" s="22"/>
    </row>
    <row r="123">
      <c r="AC123" s="22"/>
    </row>
    <row r="124">
      <c r="AC124" s="22"/>
    </row>
    <row r="125">
      <c r="AC125" s="22"/>
    </row>
    <row r="126">
      <c r="AC126" s="22"/>
    </row>
    <row r="127">
      <c r="AC127" s="22"/>
    </row>
    <row r="128">
      <c r="AC128" s="22"/>
    </row>
    <row r="129">
      <c r="AC129" s="22"/>
    </row>
    <row r="130">
      <c r="AC130" s="22"/>
    </row>
    <row r="131">
      <c r="AC131" s="22"/>
    </row>
    <row r="132">
      <c r="AC132" s="22"/>
    </row>
    <row r="133">
      <c r="AC133" s="22"/>
    </row>
    <row r="134">
      <c r="AC134" s="22"/>
    </row>
    <row r="135">
      <c r="AC135" s="22"/>
    </row>
    <row r="136">
      <c r="AC136" s="22"/>
    </row>
    <row r="137">
      <c r="AC137" s="22"/>
    </row>
    <row r="138">
      <c r="AC138" s="22"/>
    </row>
    <row r="139">
      <c r="AC139" s="22"/>
    </row>
    <row r="140">
      <c r="AC140" s="22"/>
    </row>
    <row r="141">
      <c r="AC141" s="22"/>
    </row>
    <row r="142">
      <c r="AC142" s="22"/>
    </row>
    <row r="143">
      <c r="AC143" s="22"/>
    </row>
  </sheetData>
  <dataValidations>
    <dataValidation type="custom" allowBlank="1" showDropDown="1" sqref="AC4:AC43 AT4:AT43 BK4:BK43 BQ4:BQ43 CP4:CS43">
      <formula1>AND(ISNUMBER(AC4),(NOT(OR(NOT(ISERROR(DATEVALUE(AC4))), AND(ISNUMBER(AC4), LEFT(CELL("format", AC4))="D")))))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393</v>
      </c>
      <c r="B1" s="2" t="s">
        <v>394</v>
      </c>
      <c r="C1" s="2" t="s">
        <v>395</v>
      </c>
      <c r="D1" s="2" t="s">
        <v>396</v>
      </c>
      <c r="E1" s="2" t="s">
        <v>397</v>
      </c>
      <c r="F1" s="2" t="s">
        <v>398</v>
      </c>
      <c r="G1" s="2" t="s">
        <v>399</v>
      </c>
      <c r="H1" s="2" t="s">
        <v>400</v>
      </c>
      <c r="I1" s="2" t="s">
        <v>401</v>
      </c>
      <c r="J1" s="2" t="s">
        <v>402</v>
      </c>
      <c r="K1" s="2" t="s">
        <v>403</v>
      </c>
      <c r="L1" s="2" t="s">
        <v>404</v>
      </c>
      <c r="M1" s="2" t="s">
        <v>405</v>
      </c>
      <c r="N1" s="2" t="s">
        <v>406</v>
      </c>
      <c r="O1" s="2" t="s">
        <v>407</v>
      </c>
      <c r="P1" s="2" t="s">
        <v>408</v>
      </c>
      <c r="Q1" s="2" t="s">
        <v>409</v>
      </c>
      <c r="R1" s="2" t="s">
        <v>410</v>
      </c>
      <c r="S1" s="2" t="s">
        <v>411</v>
      </c>
      <c r="T1" s="2" t="s">
        <v>412</v>
      </c>
      <c r="U1" s="2" t="s">
        <v>413</v>
      </c>
      <c r="V1" s="2" t="s">
        <v>414</v>
      </c>
      <c r="W1" s="2" t="s">
        <v>415</v>
      </c>
      <c r="X1" s="2" t="s">
        <v>416</v>
      </c>
      <c r="Y1" s="2" t="s">
        <v>417</v>
      </c>
      <c r="Z1" s="2" t="s">
        <v>418</v>
      </c>
      <c r="AA1" s="2" t="s">
        <v>419</v>
      </c>
      <c r="AB1" s="2" t="s">
        <v>420</v>
      </c>
      <c r="AC1" s="2" t="s">
        <v>421</v>
      </c>
    </row>
  </sheetData>
  <drawing r:id="rId1"/>
</worksheet>
</file>